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39346b6f404ffc6/Documents/"/>
    </mc:Choice>
  </mc:AlternateContent>
  <xr:revisionPtr revIDLastSave="1596" documentId="8_{9C70111E-31DE-4504-9277-9D80663A401D}" xr6:coauthVersionLast="47" xr6:coauthVersionMax="47" xr10:uidLastSave="{0A7BC245-7DAA-4B55-B5CF-EC232252ED88}"/>
  <bookViews>
    <workbookView xWindow="-108" yWindow="-108" windowWidth="23256" windowHeight="12456" activeTab="1" xr2:uid="{A55994D8-04BF-4255-98F0-D69F91D71914}"/>
  </bookViews>
  <sheets>
    <sheet name="pivot report" sheetId="1" r:id="rId1"/>
    <sheet name="dashhboard" sheetId="2" r:id="rId2"/>
    <sheet name="Average wait time daliy trend" sheetId="4" r:id="rId3"/>
    <sheet name="Daily ER no of patient" sheetId="3" r:id="rId4"/>
    <sheet name="satisfaction score daliy trends" sheetId="6" r:id="rId5"/>
  </sheets>
  <definedNames>
    <definedName name="Slicer_Date__Month">#N/A</definedName>
    <definedName name="Slicer_Date__Year">#N/A</definedName>
  </definedNames>
  <calcPr calcId="191029"/>
  <pivotCaches>
    <pivotCache cacheId="1411" r:id="rId6"/>
    <pivotCache cacheId="1414" r:id="rId7"/>
    <pivotCache cacheId="1417" r:id="rId8"/>
    <pivotCache cacheId="1420" r:id="rId9"/>
    <pivotCache cacheId="1423" r:id="rId10"/>
    <pivotCache cacheId="1426" r:id="rId11"/>
    <pivotCache cacheId="1429" r:id="rId12"/>
    <pivotCache cacheId="1432" r:id="rId13"/>
    <pivotCache cacheId="1435" r:id="rId14"/>
    <pivotCache cacheId="1438" r:id="rId15"/>
    <pivotCache cacheId="1441" r:id="rId16"/>
    <pivotCache cacheId="1444" r:id="rId17"/>
  </pivotCaches>
  <extLst>
    <ext xmlns:x14="http://schemas.microsoft.com/office/spreadsheetml/2009/9/main" uri="{876F7934-8845-4945-9796-88D515C7AA90}">
      <x14:pivotCaches>
        <pivotCache cacheId="70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7b70d5b-6bbc-4280-bc46-536796371ddc" name="Hospital Emergency Room Data" connection="Query - Hospital Emergency Room Data"/>
          <x15:modelTable id="Calender_table_746c3eaa-8b87-4a19-94f5-35945da471de"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C47" i="1"/>
  <c r="B48" i="1"/>
  <c r="C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15AE61-F379-4DC8-B607-876264BCA714}" name="Query - Calender_table" description="Connection to the 'Calender_table' query in the workbook." type="100" refreshedVersion="8" minRefreshableVersion="5">
    <extLst>
      <ext xmlns:x15="http://schemas.microsoft.com/office/spreadsheetml/2010/11/main" uri="{DE250136-89BD-433C-8126-D09CA5730AF9}">
        <x15:connection id="2809e307-96b0-407b-8655-c964c3e30aff"/>
      </ext>
    </extLst>
  </connection>
  <connection id="2" xr16:uid="{EEBFD029-0BC7-491F-9C4A-8F52886970E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5ccd8bb-07ba-4b75-a7a2-366ed05268b2"/>
      </ext>
    </extLst>
  </connection>
  <connection id="3" xr16:uid="{3A5AAA50-E24A-4EED-86CA-25DDC01581F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<sst xmlns="http://schemas.openxmlformats.org/spreadsheetml/2006/main" count="149" uniqueCount="73">
  <si>
    <t>Distinct Count of Patient Id</t>
  </si>
  <si>
    <t>No. of patient</t>
  </si>
  <si>
    <t>Average of Patient Waittime</t>
  </si>
  <si>
    <t>Average of Patient Satisfaction Score</t>
  </si>
  <si>
    <t>Grand Total</t>
  </si>
  <si>
    <t>Row Labels</t>
  </si>
  <si>
    <t>daliy trend of no of patient</t>
  </si>
  <si>
    <t xml:space="preserve">average wait time </t>
  </si>
  <si>
    <t>patient satistfaction score</t>
  </si>
  <si>
    <t>Count of Patient Admission Flag</t>
  </si>
  <si>
    <t>Admitted</t>
  </si>
  <si>
    <t>Not Admitted</t>
  </si>
  <si>
    <t>Count of Patient Admission Flag2</t>
  </si>
  <si>
    <t xml:space="preserve">Admission status </t>
  </si>
  <si>
    <t>%status</t>
  </si>
  <si>
    <t>Patient</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</si>
  <si>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</si>
  <si>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</si>
  <si>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</si>
  <si>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</si>
  <si>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</si>
  <si>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</si>
  <si>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</si>
  <si>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</si>
  <si>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</si>
  <si>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</si>
  <si>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</si>
  <si>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</si>
  <si>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</si>
  <si>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</si>
  <si>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</si>
  <si>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</si>
  <si>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</si>
  <si>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</si>
  <si>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</si>
  <si>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</si>
  <si>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</si>
  <si>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</si>
  <si>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</si>
  <si>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</si>
  <si>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</si>
  <si>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</si>
  <si>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</si>
  <si>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</si>
  <si>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</si>
  <si>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0-09</t>
  </si>
  <si>
    <t>10-19</t>
  </si>
  <si>
    <t>20-29</t>
  </si>
  <si>
    <t>30-39</t>
  </si>
  <si>
    <t>40-49</t>
  </si>
  <si>
    <t>50-59</t>
  </si>
  <si>
    <t>60-69</t>
  </si>
  <si>
    <t>70-79</t>
  </si>
  <si>
    <t>Count of Age grop</t>
  </si>
  <si>
    <t>age group wisw analysis</t>
  </si>
  <si>
    <t>Count of Patient Id</t>
  </si>
  <si>
    <t>Ontime</t>
  </si>
  <si>
    <t>Dealy</t>
  </si>
  <si>
    <t>atted status</t>
  </si>
  <si>
    <t>Count of Patient Gender</t>
  </si>
  <si>
    <t>Female</t>
  </si>
  <si>
    <t>Male</t>
  </si>
  <si>
    <t>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</si>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</sst>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sz val="11"/>
      <color theme="0"/>
      <name val="Aptos Narrow"/>
      <family val="2"/>
      <scheme val="minor"/>
    </font>
    <font>
      <sz val="14"/>
      <color rgb="FF000000"/>
      <name val="Aptos Narrow"/>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2" fillId="3" borderId="0" xfId="0" applyFont="1" applyFill="1"/>
    <xf numFmtId="10" fontId="0" fillId="0" borderId="0" xfId="0" applyNumberFormat="1"/>
    <xf numFmtId="0" fontId="0" fillId="4" borderId="0" xfId="0" applyFill="1" applyAlignment="1">
      <alignment horizontal="center" vertical="center"/>
    </xf>
    <xf numFmtId="0" fontId="0" fillId="5" borderId="0" xfId="0" applyFill="1" applyAlignment="1">
      <alignment horizontal="center"/>
    </xf>
    <xf numFmtId="9" fontId="0" fillId="5" borderId="0" xfId="1" applyFont="1" applyFill="1" applyAlignment="1">
      <alignment horizontal="center"/>
    </xf>
    <xf numFmtId="0" fontId="0" fillId="0" borderId="0" xfId="0" applyNumberFormat="1"/>
    <xf numFmtId="0" fontId="3" fillId="0" borderId="0" xfId="0" applyFont="1" applyAlignment="1">
      <alignment horizontal="center" vertical="center"/>
    </xf>
    <xf numFmtId="1" fontId="0" fillId="0" borderId="0" xfId="0" applyNumberFormat="1"/>
  </cellXfs>
  <cellStyles count="2">
    <cellStyle name="Normal" xfId="0" builtinId="0"/>
    <cellStyle name="Percent" xfId="1" builtinId="5"/>
  </cellStyles>
  <dxfs count="295">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8"/>
        </bottom>
        <vertical/>
        <horizontal/>
      </border>
    </dxf>
    <dxf>
      <font>
        <sz val="8"/>
        <color theme="1"/>
        <name val="Aptos Narrow"/>
        <family val="2"/>
        <scheme val="minor"/>
      </font>
      <fill>
        <patternFill patternType="none">
          <fgColor auto="1"/>
          <bgColor auto="1"/>
        </patternFill>
      </fill>
      <border diagonalUp="0" diagonalDown="0">
        <left/>
        <right/>
        <top/>
        <bottom/>
        <vertical/>
        <horizontal/>
      </border>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my stlye" pivot="0" table="0" count="10" xr9:uid="{36475D73-F9EB-42DC-AD0A-6AAFA164DD87}">
      <tableStyleElement type="wholeTable" dxfId="205"/>
      <tableStyleElement type="headerRow" dxfId="20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ly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report!PivotTable7</c:name>
    <c:fmtId val="0"/>
  </c:pivotSource>
  <c:chart>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lumMod val="75000"/>
            </a:schemeClr>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5">
              <a:lumMod val="75000"/>
            </a:schemeClr>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745E2C9F-E3BF-4C61-BC3C-92A43617A5D2}"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6.0825990131862635E-2"/>
          <c:y val="5.5761434454072112E-2"/>
          <c:w val="0.91663158389239918"/>
          <c:h val="0.76867720452114363"/>
        </c:manualLayout>
      </c:layout>
      <c:barChart>
        <c:barDir val="bar"/>
        <c:grouping val="clustered"/>
        <c:varyColors val="0"/>
        <c:ser>
          <c:idx val="0"/>
          <c:order val="0"/>
          <c:tx>
            <c:strRef>
              <c:f>'pivot report'!$C$42:$C$43</c:f>
              <c:strCache>
                <c:ptCount val="1"/>
                <c:pt idx="0">
                  <c:v>Count of Patient Admission Flag</c:v>
                </c:pt>
              </c:strCache>
            </c:strRef>
          </c:tx>
          <c:spPr>
            <a:solidFill>
              <a:schemeClr val="accent5">
                <a:lumMod val="75000"/>
              </a:schemeClr>
            </a:solidFill>
            <a:ln>
              <a:noFill/>
            </a:ln>
            <a:effectLst/>
          </c:spPr>
          <c:invertIfNegative val="0"/>
          <c:dPt>
            <c:idx val="0"/>
            <c:invertIfNegative val="0"/>
            <c:bubble3D val="0"/>
          </c:dPt>
          <c:dPt>
            <c:idx val="1"/>
            <c:invertIfNegative val="0"/>
            <c:bubble3D val="0"/>
          </c:dPt>
          <c:dLbls>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report'!$C$42:$C$43</c:f>
              <c:strCache>
                <c:ptCount val="2"/>
                <c:pt idx="0">
                  <c:v>Admitted</c:v>
                </c:pt>
                <c:pt idx="1">
                  <c:v>Not Admitted</c:v>
                </c:pt>
              </c:strCache>
            </c:strRef>
          </c:cat>
          <c:val>
            <c:numRef>
              <c:f>'pivot report'!$C$42:$C$43</c:f>
              <c:numCache>
                <c:formatCode>0.00</c:formatCode>
                <c:ptCount val="2"/>
                <c:pt idx="0">
                  <c:v>224</c:v>
                </c:pt>
                <c:pt idx="1">
                  <c:v>207</c:v>
                </c:pt>
              </c:numCache>
            </c:numRef>
          </c:val>
          <c:extLst>
            <c:ext xmlns:c16="http://schemas.microsoft.com/office/drawing/2014/chart" uri="{C3380CC4-5D6E-409C-BE32-E72D297353CC}">
              <c16:uniqueId val="{00000003-0D67-49CA-8E92-DFC4885AF14C}"/>
            </c:ext>
          </c:extLst>
        </c:ser>
        <c:ser>
          <c:idx val="1"/>
          <c:order val="1"/>
          <c:tx>
            <c:strRef>
              <c:f>'pivot report'!$C$42:$C$43</c:f>
              <c:strCache>
                <c:ptCount val="1"/>
                <c:pt idx="0">
                  <c:v>Count of Patient Admission Flag2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0.51972157772621808</c:v>
                </c:pt>
                <c:pt idx="1">
                  <c:v>0.48027842227378192</c:v>
                </c:pt>
              </c:numCache>
            </c:numRef>
          </c:val>
          <c:extLst>
            <c:ext xmlns:c16="http://schemas.microsoft.com/office/drawing/2014/chart" uri="{C3380CC4-5D6E-409C-BE32-E72D297353CC}">
              <c16:uniqueId val="{00000004-0D67-49CA-8E92-DFC4885AF14C}"/>
            </c:ext>
          </c:extLst>
        </c:ser>
        <c:dLbls>
          <c:showLegendKey val="0"/>
          <c:showVal val="0"/>
          <c:showCatName val="0"/>
          <c:showSerName val="0"/>
          <c:showPercent val="0"/>
          <c:showBubbleSize val="0"/>
        </c:dLbls>
        <c:gapWidth val="0"/>
        <c:axId val="1504874255"/>
        <c:axId val="1504868015"/>
      </c:barChart>
      <c:catAx>
        <c:axId val="1504874255"/>
        <c:scaling>
          <c:orientation val="minMax"/>
        </c:scaling>
        <c:delete val="1"/>
        <c:axPos val="l"/>
        <c:numFmt formatCode="General" sourceLinked="1"/>
        <c:majorTickMark val="none"/>
        <c:minorTickMark val="none"/>
        <c:tickLblPos val="nextTo"/>
        <c:crossAx val="1504868015"/>
        <c:crosses val="autoZero"/>
        <c:auto val="1"/>
        <c:lblAlgn val="ctr"/>
        <c:lblOffset val="100"/>
        <c:noMultiLvlLbl val="0"/>
      </c:catAx>
      <c:valAx>
        <c:axId val="1504868015"/>
        <c:scaling>
          <c:orientation val="minMax"/>
        </c:scaling>
        <c:delete val="1"/>
        <c:axPos val="b"/>
        <c:numFmt formatCode="0.00" sourceLinked="1"/>
        <c:majorTickMark val="none"/>
        <c:minorTickMark val="none"/>
        <c:tickLblPos val="nextTo"/>
        <c:crossAx val="150487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234048327709273"/>
          <c:w val="1"/>
          <c:h val="0.63083100379661716"/>
        </c:manualLayout>
      </c:layout>
      <c:areaChart>
        <c:grouping val="standard"/>
        <c:varyColors val="0"/>
        <c:ser>
          <c:idx val="0"/>
          <c:order val="0"/>
          <c:tx>
            <c:strRef>
              <c:f>'pivot report'!$E$5</c:f>
              <c:strCache>
                <c:ptCount val="1"/>
                <c:pt idx="0">
                  <c:v>Total</c:v>
                </c:pt>
              </c:strCache>
            </c:strRef>
          </c:tx>
          <c:spPr>
            <a:solidFill>
              <a:schemeClr val="accent5">
                <a:lumMod val="75000"/>
              </a:schemeClr>
            </a:solidFill>
            <a:ln w="25400">
              <a:noFill/>
            </a:ln>
            <a:effectLst/>
          </c:spPr>
          <c:cat>
            <c:strRef>
              <c:f>'pivot report'!$D$6:$D$35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5531-46A8-A4F3-B9E2775D74F6}"/>
            </c:ext>
          </c:extLst>
        </c:ser>
        <c:dLbls>
          <c:showLegendKey val="0"/>
          <c:showVal val="0"/>
          <c:showCatName val="0"/>
          <c:showSerName val="0"/>
          <c:showPercent val="0"/>
          <c:showBubbleSize val="0"/>
        </c:dLbls>
        <c:axId val="535789759"/>
        <c:axId val="535787359"/>
      </c:areaChart>
      <c:catAx>
        <c:axId val="535789759"/>
        <c:scaling>
          <c:orientation val="minMax"/>
        </c:scaling>
        <c:delete val="1"/>
        <c:axPos val="b"/>
        <c:numFmt formatCode="General" sourceLinked="1"/>
        <c:majorTickMark val="out"/>
        <c:minorTickMark val="none"/>
        <c:tickLblPos val="nextTo"/>
        <c:crossAx val="535787359"/>
        <c:crosses val="autoZero"/>
        <c:auto val="1"/>
        <c:lblAlgn val="ctr"/>
        <c:lblOffset val="100"/>
        <c:noMultiLvlLbl val="0"/>
      </c:catAx>
      <c:valAx>
        <c:axId val="535787359"/>
        <c:scaling>
          <c:orientation val="minMax"/>
        </c:scaling>
        <c:delete val="1"/>
        <c:axPos val="l"/>
        <c:numFmt formatCode="General" sourceLinked="1"/>
        <c:majorTickMark val="none"/>
        <c:minorTickMark val="none"/>
        <c:tickLblPos val="nextTo"/>
        <c:crossAx val="53578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00335354627394E-2"/>
          <c:y val="0.25714267914325228"/>
          <c:w val="0.89235879272334129"/>
          <c:h val="0.58461567215320787"/>
        </c:manualLayout>
      </c:layout>
      <c:areaChart>
        <c:grouping val="standard"/>
        <c:varyColors val="0"/>
        <c:ser>
          <c:idx val="0"/>
          <c:order val="0"/>
          <c:tx>
            <c:strRef>
              <c:f>'pivot report'!$I$5</c:f>
              <c:strCache>
                <c:ptCount val="1"/>
                <c:pt idx="0">
                  <c:v>Total</c:v>
                </c:pt>
              </c:strCache>
            </c:strRef>
          </c:tx>
          <c:spPr>
            <a:solidFill>
              <a:schemeClr val="accent5">
                <a:lumMod val="75000"/>
              </a:schemeClr>
            </a:solidFill>
            <a:ln w="25400">
              <a:noFill/>
            </a:ln>
            <a:effectLst/>
          </c:spPr>
          <c:cat>
            <c:strRef>
              <c:f>'pivot report'!$H$6:$H$35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report'!$I$6:$I$35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2-85BA-437E-A0A0-DE40717EFB34}"/>
            </c:ext>
          </c:extLst>
        </c:ser>
        <c:dLbls>
          <c:showLegendKey val="0"/>
          <c:showVal val="0"/>
          <c:showCatName val="0"/>
          <c:showSerName val="0"/>
          <c:showPercent val="0"/>
          <c:showBubbleSize val="0"/>
        </c:dLbls>
        <c:axId val="1351962127"/>
        <c:axId val="1351953487"/>
      </c:areaChart>
      <c:catAx>
        <c:axId val="1351962127"/>
        <c:scaling>
          <c:orientation val="minMax"/>
        </c:scaling>
        <c:delete val="1"/>
        <c:axPos val="b"/>
        <c:numFmt formatCode="General" sourceLinked="1"/>
        <c:majorTickMark val="out"/>
        <c:minorTickMark val="none"/>
        <c:tickLblPos val="nextTo"/>
        <c:crossAx val="1351953487"/>
        <c:crosses val="autoZero"/>
        <c:auto val="1"/>
        <c:lblAlgn val="ctr"/>
        <c:lblOffset val="100"/>
        <c:noMultiLvlLbl val="0"/>
      </c:catAx>
      <c:valAx>
        <c:axId val="1351953487"/>
        <c:scaling>
          <c:orientation val="minMax"/>
        </c:scaling>
        <c:delete val="1"/>
        <c:axPos val="l"/>
        <c:numFmt formatCode="0.00" sourceLinked="1"/>
        <c:majorTickMark val="none"/>
        <c:minorTickMark val="none"/>
        <c:tickLblPos val="nextTo"/>
        <c:crossAx val="1351962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5781145989069E-2"/>
          <c:y val="6.5544530541170737E-2"/>
          <c:w val="0.95924837290656551"/>
          <c:h val="0.76913978580226339"/>
        </c:manualLayout>
      </c:layout>
      <c:areaChart>
        <c:grouping val="standard"/>
        <c:varyColors val="0"/>
        <c:ser>
          <c:idx val="0"/>
          <c:order val="0"/>
          <c:tx>
            <c:strRef>
              <c:f>'pivot report'!$L$5</c:f>
              <c:strCache>
                <c:ptCount val="1"/>
                <c:pt idx="0">
                  <c:v>Total</c:v>
                </c:pt>
              </c:strCache>
            </c:strRef>
          </c:tx>
          <c:spPr>
            <a:solidFill>
              <a:schemeClr val="accent5">
                <a:lumMod val="75000"/>
              </a:schemeClr>
            </a:solidFill>
            <a:ln w="25400">
              <a:noFill/>
            </a:ln>
            <a:effectLst/>
          </c:spPr>
          <c:cat>
            <c:strRef>
              <c:f>'pivot report'!$K$6:$K$34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report'!$L$6:$L$34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2-E412-46DB-974E-39BA3DD1561E}"/>
            </c:ext>
          </c:extLst>
        </c:ser>
        <c:dLbls>
          <c:showLegendKey val="0"/>
          <c:showVal val="0"/>
          <c:showCatName val="0"/>
          <c:showSerName val="0"/>
          <c:showPercent val="0"/>
          <c:showBubbleSize val="0"/>
        </c:dLbls>
        <c:axId val="1454989423"/>
        <c:axId val="1455001903"/>
      </c:areaChart>
      <c:catAx>
        <c:axId val="1454989423"/>
        <c:scaling>
          <c:orientation val="minMax"/>
        </c:scaling>
        <c:delete val="1"/>
        <c:axPos val="b"/>
        <c:numFmt formatCode="General" sourceLinked="1"/>
        <c:majorTickMark val="out"/>
        <c:minorTickMark val="none"/>
        <c:tickLblPos val="nextTo"/>
        <c:crossAx val="1455001903"/>
        <c:crosses val="autoZero"/>
        <c:auto val="1"/>
        <c:lblAlgn val="ctr"/>
        <c:lblOffset val="100"/>
        <c:noMultiLvlLbl val="0"/>
      </c:catAx>
      <c:valAx>
        <c:axId val="1455001903"/>
        <c:scaling>
          <c:orientation val="minMax"/>
        </c:scaling>
        <c:delete val="1"/>
        <c:axPos val="l"/>
        <c:numFmt formatCode="0.00" sourceLinked="1"/>
        <c:majorTickMark val="none"/>
        <c:minorTickMark val="none"/>
        <c:tickLblPos val="nextTo"/>
        <c:crossAx val="1454989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report!PivotTable10</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89564484156526E-2"/>
          <c:y val="8.9592747412584536E-2"/>
          <c:w val="0.939263813949889"/>
          <c:h val="0.72211369621068211"/>
        </c:manualLayout>
      </c:layout>
      <c:barChart>
        <c:barDir val="col"/>
        <c:grouping val="clustered"/>
        <c:varyColors val="0"/>
        <c:ser>
          <c:idx val="0"/>
          <c:order val="0"/>
          <c:tx>
            <c:strRef>
              <c:f>'pivot report'!$B$50</c:f>
              <c:strCache>
                <c:ptCount val="1"/>
                <c:pt idx="0">
                  <c:v>Total</c:v>
                </c:pt>
              </c:strCache>
            </c:strRef>
          </c:tx>
          <c:spPr>
            <a:solidFill>
              <a:schemeClr val="accent5"/>
            </a:solidFill>
            <a:ln>
              <a:noFill/>
            </a:ln>
            <a:effectLst/>
          </c:spPr>
          <c:invertIfNegative val="0"/>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0.00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3-A949-4549-BE64-5BC5F4FF9EB9}"/>
            </c:ext>
          </c:extLst>
        </c:ser>
        <c:dLbls>
          <c:showLegendKey val="0"/>
          <c:showVal val="0"/>
          <c:showCatName val="0"/>
          <c:showSerName val="0"/>
          <c:showPercent val="0"/>
          <c:showBubbleSize val="0"/>
        </c:dLbls>
        <c:gapWidth val="219"/>
        <c:overlap val="-27"/>
        <c:axId val="590816848"/>
        <c:axId val="590816368"/>
      </c:barChart>
      <c:catAx>
        <c:axId val="5908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16368"/>
        <c:crosses val="autoZero"/>
        <c:auto val="1"/>
        <c:lblAlgn val="ctr"/>
        <c:lblOffset val="100"/>
        <c:noMultiLvlLbl val="0"/>
      </c:catAx>
      <c:valAx>
        <c:axId val="590816368"/>
        <c:scaling>
          <c:orientation val="minMax"/>
        </c:scaling>
        <c:delete val="1"/>
        <c:axPos val="l"/>
        <c:numFmt formatCode="0.00" sourceLinked="1"/>
        <c:majorTickMark val="none"/>
        <c:minorTickMark val="none"/>
        <c:tickLblPos val="nextTo"/>
        <c:crossAx val="59081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report!PivotTable11</c:name>
    <c:fmtId val="14"/>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317500" algn="ctr" rotWithShape="0">
              <a:prstClr val="black">
                <a:alpha val="25000"/>
              </a:prstClr>
            </a:outerShdw>
          </a:effectLst>
        </c:spPr>
      </c:pivotFmt>
      <c:pivotFmt>
        <c:idx val="6"/>
        <c:spPr>
          <a:solidFill>
            <a:schemeClr val="accent5">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0654526850211965"/>
          <c:y val="0.16135111898252594"/>
          <c:w val="0.80684071705040028"/>
          <c:h val="0.82017682571141426"/>
        </c:manualLayout>
      </c:layout>
      <c:pieChart>
        <c:varyColors val="1"/>
        <c:ser>
          <c:idx val="0"/>
          <c:order val="0"/>
          <c:tx>
            <c:strRef>
              <c:f>'pivot report'!$B$61</c:f>
              <c:strCache>
                <c:ptCount val="1"/>
                <c:pt idx="0">
                  <c:v>Total</c:v>
                </c:pt>
              </c:strCache>
            </c:strRef>
          </c:tx>
          <c:dPt>
            <c:idx val="0"/>
            <c:bubble3D val="0"/>
            <c:spPr>
              <a:solidFill>
                <a:schemeClr val="accent5">
                  <a:shade val="76000"/>
                </a:schemeClr>
              </a:solidFill>
              <a:ln>
                <a:noFill/>
              </a:ln>
              <a:effectLst>
                <a:outerShdw blurRad="317500" algn="ctr" rotWithShape="0">
                  <a:prstClr val="black">
                    <a:alpha val="25000"/>
                  </a:prstClr>
                </a:outerShdw>
              </a:effectLst>
            </c:spPr>
          </c:dPt>
          <c:dPt>
            <c:idx val="1"/>
            <c:bubble3D val="0"/>
            <c:spPr>
              <a:solidFill>
                <a:schemeClr val="accent5">
                  <a:tint val="77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report'!$A$62:$A$64</c:f>
              <c:strCache>
                <c:ptCount val="2"/>
                <c:pt idx="0">
                  <c:v>Dealy</c:v>
                </c:pt>
                <c:pt idx="1">
                  <c:v>Ontime</c:v>
                </c:pt>
              </c:strCache>
            </c:strRef>
          </c:cat>
          <c:val>
            <c:numRef>
              <c:f>'pivot report'!$B$62:$B$64</c:f>
              <c:numCache>
                <c:formatCode>0</c:formatCode>
                <c:ptCount val="2"/>
                <c:pt idx="0">
                  <c:v>283</c:v>
                </c:pt>
                <c:pt idx="1">
                  <c:v>148</c:v>
                </c:pt>
              </c:numCache>
            </c:numRef>
          </c:val>
          <c:extLst>
            <c:ext xmlns:c16="http://schemas.microsoft.com/office/drawing/2014/chart" uri="{C3380CC4-5D6E-409C-BE32-E72D297353CC}">
              <c16:uniqueId val="{00000007-2B48-4FC1-B18D-C116A7CA0AB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9.9187862180857359E-2"/>
          <c:y val="1.7589449492926266E-2"/>
          <c:w val="0.83664368605480544"/>
          <c:h val="0.14896769674437349"/>
        </c:manualLayout>
      </c:layout>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report!PivotTable12</c:name>
    <c:fmtId val="26"/>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1491603702590152E-2"/>
          <c:y val="0.16438861535367155"/>
          <c:w val="0.85854238829991958"/>
          <c:h val="0.75438158605729422"/>
        </c:manualLayout>
      </c:layout>
      <c:doughnutChart>
        <c:varyColors val="1"/>
        <c:ser>
          <c:idx val="0"/>
          <c:order val="0"/>
          <c:tx>
            <c:strRef>
              <c:f>'pivot report'!$B$67</c:f>
              <c:strCache>
                <c:ptCount val="1"/>
                <c:pt idx="0">
                  <c:v>Total</c:v>
                </c:pt>
              </c:strCache>
            </c:strRef>
          </c:tx>
          <c:spPr>
            <a:effectLst/>
          </c:spPr>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Female</c:v>
                </c:pt>
                <c:pt idx="1">
                  <c:v>Male</c:v>
                </c:pt>
              </c:strCache>
            </c:strRef>
          </c:cat>
          <c:val>
            <c:numRef>
              <c:f>'pivot report'!$B$68:$B$70</c:f>
              <c:numCache>
                <c:formatCode>0.00</c:formatCode>
                <c:ptCount val="2"/>
                <c:pt idx="0">
                  <c:v>194</c:v>
                </c:pt>
                <c:pt idx="1">
                  <c:v>237</c:v>
                </c:pt>
              </c:numCache>
            </c:numRef>
          </c:val>
          <c:extLst>
            <c:ext xmlns:c16="http://schemas.microsoft.com/office/drawing/2014/chart" uri="{C3380CC4-5D6E-409C-BE32-E72D297353CC}">
              <c16:uniqueId val="{00000007-7F39-41F1-BE30-0B1FA41F87EF}"/>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6.5508139519023845E-2"/>
          <c:y val="1.8031786592854711E-2"/>
          <c:w val="0.81432405194238866"/>
          <c:h val="0.1630999978635941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report!PivotTable13</c:name>
    <c:fmtId val="3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2713637184163"/>
          <c:y val="2.3929819051678253E-2"/>
          <c:w val="0.70489712146571148"/>
          <c:h val="0.9481331100964393"/>
        </c:manualLayout>
      </c:layout>
      <c:barChart>
        <c:barDir val="bar"/>
        <c:grouping val="clustered"/>
        <c:varyColors val="0"/>
        <c:ser>
          <c:idx val="0"/>
          <c:order val="0"/>
          <c:tx>
            <c:strRef>
              <c:f>'pivot report'!$B$72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report'!$A$73:$A$81</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report'!$B$73:$B$81</c:f>
              <c:numCache>
                <c:formatCode>0.00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3-329E-4464-BFEE-52160B08B9DA}"/>
            </c:ext>
          </c:extLst>
        </c:ser>
        <c:dLbls>
          <c:showLegendKey val="0"/>
          <c:showVal val="0"/>
          <c:showCatName val="0"/>
          <c:showSerName val="0"/>
          <c:showPercent val="0"/>
          <c:showBubbleSize val="0"/>
        </c:dLbls>
        <c:gapWidth val="46"/>
        <c:axId val="1001921520"/>
        <c:axId val="1001919600"/>
      </c:barChart>
      <c:catAx>
        <c:axId val="100192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19600"/>
        <c:crosses val="autoZero"/>
        <c:auto val="1"/>
        <c:lblAlgn val="ctr"/>
        <c:lblOffset val="100"/>
        <c:noMultiLvlLbl val="0"/>
      </c:catAx>
      <c:valAx>
        <c:axId val="1001919600"/>
        <c:scaling>
          <c:orientation val="minMax"/>
        </c:scaling>
        <c:delete val="1"/>
        <c:axPos val="b"/>
        <c:numFmt formatCode="0.00" sourceLinked="1"/>
        <c:majorTickMark val="none"/>
        <c:minorTickMark val="none"/>
        <c:tickLblPos val="nextTo"/>
        <c:crossAx val="100192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report!PivotTable5</c:name>
    <c:fmtId val="1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pPr>
            <a:solidFill>
              <a:schemeClr val="accent5"/>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00335354627394E-2"/>
          <c:y val="0.25714267914325228"/>
          <c:w val="0.89235879272334129"/>
          <c:h val="0.58461567215320787"/>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report'!$H$6:$H$35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report'!$I$6:$I$35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1-0EC1-4B4C-991D-BD9CAF3FC11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51962127"/>
        <c:axId val="1351953487"/>
      </c:areaChart>
      <c:catAx>
        <c:axId val="1351962127"/>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1953487"/>
        <c:crosses val="autoZero"/>
        <c:auto val="1"/>
        <c:lblAlgn val="ctr"/>
        <c:lblOffset val="100"/>
        <c:noMultiLvlLbl val="0"/>
      </c:catAx>
      <c:valAx>
        <c:axId val="1351953487"/>
        <c:scaling>
          <c:orientation val="minMax"/>
        </c:scaling>
        <c:delete val="1"/>
        <c:axPos val="l"/>
        <c:numFmt formatCode="0.00" sourceLinked="1"/>
        <c:majorTickMark val="out"/>
        <c:minorTickMark val="none"/>
        <c:tickLblPos val="nextTo"/>
        <c:crossAx val="1351962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234048327709273"/>
          <c:w val="1"/>
          <c:h val="0.63083100379661716"/>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372C-4592-8F5A-542629B2975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5789759"/>
        <c:axId val="535787359"/>
      </c:areaChart>
      <c:catAx>
        <c:axId val="535789759"/>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5787359"/>
        <c:crosses val="autoZero"/>
        <c:auto val="1"/>
        <c:lblAlgn val="ctr"/>
        <c:lblOffset val="100"/>
        <c:noMultiLvlLbl val="0"/>
      </c:catAx>
      <c:valAx>
        <c:axId val="535787359"/>
        <c:scaling>
          <c:orientation val="minMax"/>
        </c:scaling>
        <c:delete val="1"/>
        <c:axPos val="l"/>
        <c:numFmt formatCode="General" sourceLinked="1"/>
        <c:majorTickMark val="out"/>
        <c:minorTickMark val="none"/>
        <c:tickLblPos val="nextTo"/>
        <c:crossAx val="53578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report'!$K$6:$K$34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report'!$L$6:$L$34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2396-4E8B-80DD-53C083DC678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54989423"/>
        <c:axId val="1455001903"/>
      </c:areaChart>
      <c:catAx>
        <c:axId val="1454989423"/>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55001903"/>
        <c:crosses val="autoZero"/>
        <c:auto val="1"/>
        <c:lblAlgn val="ctr"/>
        <c:lblOffset val="100"/>
        <c:noMultiLvlLbl val="0"/>
      </c:catAx>
      <c:valAx>
        <c:axId val="1455001903"/>
        <c:scaling>
          <c:orientation val="minMax"/>
        </c:scaling>
        <c:delete val="1"/>
        <c:axPos val="l"/>
        <c:numFmt formatCode="0.00" sourceLinked="1"/>
        <c:majorTickMark val="out"/>
        <c:minorTickMark val="none"/>
        <c:tickLblPos val="nextTo"/>
        <c:crossAx val="1454989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li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li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2673</xdr:colOff>
      <xdr:row>45</xdr:row>
      <xdr:rowOff>180473</xdr:rowOff>
    </xdr:from>
    <xdr:to>
      <xdr:col>4</xdr:col>
      <xdr:colOff>0</xdr:colOff>
      <xdr:row>48</xdr:row>
      <xdr:rowOff>46789</xdr:rowOff>
    </xdr:to>
    <xdr:graphicFrame macro="">
      <xdr:nvGraphicFramePr>
        <xdr:cNvPr id="6" name="Chart 5">
          <a:extLst>
            <a:ext uri="{FF2B5EF4-FFF2-40B4-BE49-F238E27FC236}">
              <a16:creationId xmlns:a16="http://schemas.microsoft.com/office/drawing/2014/main" id="{6B98FDE5-7217-7855-0715-FBF6F3836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40822</xdr:colOff>
      <xdr:row>0</xdr:row>
      <xdr:rowOff>49137</xdr:rowOff>
    </xdr:from>
    <xdr:to>
      <xdr:col>9</xdr:col>
      <xdr:colOff>68035</xdr:colOff>
      <xdr:row>4</xdr:row>
      <xdr:rowOff>67280</xdr:rowOff>
    </xdr:to>
    <xdr:sp macro="" textlink="">
      <xdr:nvSpPr>
        <xdr:cNvPr id="2" name="Rectangle: Rounded Corners 1">
          <a:extLst>
            <a:ext uri="{FF2B5EF4-FFF2-40B4-BE49-F238E27FC236}">
              <a16:creationId xmlns:a16="http://schemas.microsoft.com/office/drawing/2014/main" id="{A4CDE8B0-780B-0921-0020-EDC1FC4D1321}"/>
            </a:ext>
          </a:extLst>
        </xdr:cNvPr>
        <xdr:cNvSpPr/>
      </xdr:nvSpPr>
      <xdr:spPr>
        <a:xfrm>
          <a:off x="40822" y="49137"/>
          <a:ext cx="5558517" cy="752929"/>
        </a:xfrm>
        <a:prstGeom prst="roundRect">
          <a:avLst>
            <a:gd name="adj" fmla="val 1169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151946</xdr:colOff>
      <xdr:row>0</xdr:row>
      <xdr:rowOff>61990</xdr:rowOff>
    </xdr:from>
    <xdr:to>
      <xdr:col>11</xdr:col>
      <xdr:colOff>397632</xdr:colOff>
      <xdr:row>4</xdr:row>
      <xdr:rowOff>55942</xdr:rowOff>
    </xdr:to>
    <xdr:sp macro="" textlink="">
      <xdr:nvSpPr>
        <xdr:cNvPr id="3" name="Rectangle: Rounded Corners 2">
          <a:extLst>
            <a:ext uri="{FF2B5EF4-FFF2-40B4-BE49-F238E27FC236}">
              <a16:creationId xmlns:a16="http://schemas.microsoft.com/office/drawing/2014/main" id="{57A06DEB-D525-B0B7-F3DA-BF19DEB33385}"/>
            </a:ext>
          </a:extLst>
        </xdr:cNvPr>
        <xdr:cNvSpPr/>
      </xdr:nvSpPr>
      <xdr:spPr>
        <a:xfrm>
          <a:off x="5683250" y="61990"/>
          <a:ext cx="1470328" cy="728738"/>
        </a:xfrm>
        <a:prstGeom prst="roundRect">
          <a:avLst>
            <a:gd name="adj" fmla="val 1064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noFill/>
          </a:endParaRPr>
        </a:p>
      </xdr:txBody>
    </xdr:sp>
    <xdr:clientData/>
  </xdr:twoCellAnchor>
  <xdr:twoCellAnchor editAs="absolute">
    <xdr:from>
      <xdr:col>11</xdr:col>
      <xdr:colOff>490614</xdr:colOff>
      <xdr:row>0</xdr:row>
      <xdr:rowOff>63500</xdr:rowOff>
    </xdr:from>
    <xdr:to>
      <xdr:col>14</xdr:col>
      <xdr:colOff>436186</xdr:colOff>
      <xdr:row>11</xdr:row>
      <xdr:rowOff>63500</xdr:rowOff>
    </xdr:to>
    <xdr:sp macro="" textlink="">
      <xdr:nvSpPr>
        <xdr:cNvPr id="4" name="Rectangle: Rounded Corners 3">
          <a:extLst>
            <a:ext uri="{FF2B5EF4-FFF2-40B4-BE49-F238E27FC236}">
              <a16:creationId xmlns:a16="http://schemas.microsoft.com/office/drawing/2014/main" id="{EFCA7CDE-13C7-534A-559C-B8BA9C5D9A43}"/>
            </a:ext>
          </a:extLst>
        </xdr:cNvPr>
        <xdr:cNvSpPr/>
      </xdr:nvSpPr>
      <xdr:spPr>
        <a:xfrm>
          <a:off x="7193392" y="63500"/>
          <a:ext cx="1765905" cy="2017889"/>
        </a:xfrm>
        <a:prstGeom prst="roundRect">
          <a:avLst>
            <a:gd name="adj" fmla="val 1225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14</xdr:col>
      <xdr:colOff>560916</xdr:colOff>
      <xdr:row>0</xdr:row>
      <xdr:rowOff>50650</xdr:rowOff>
    </xdr:from>
    <xdr:to>
      <xdr:col>17</xdr:col>
      <xdr:colOff>377220</xdr:colOff>
      <xdr:row>11</xdr:row>
      <xdr:rowOff>49389</xdr:rowOff>
    </xdr:to>
    <xdr:sp macro="" textlink="">
      <xdr:nvSpPr>
        <xdr:cNvPr id="5" name="Rectangle: Rounded Corners 4">
          <a:extLst>
            <a:ext uri="{FF2B5EF4-FFF2-40B4-BE49-F238E27FC236}">
              <a16:creationId xmlns:a16="http://schemas.microsoft.com/office/drawing/2014/main" id="{2979B8ED-D556-5195-B6DC-ED96187F8688}"/>
            </a:ext>
          </a:extLst>
        </xdr:cNvPr>
        <xdr:cNvSpPr/>
      </xdr:nvSpPr>
      <xdr:spPr>
        <a:xfrm>
          <a:off x="9084027" y="50650"/>
          <a:ext cx="1770693" cy="2016628"/>
        </a:xfrm>
        <a:prstGeom prst="roundRect">
          <a:avLst>
            <a:gd name="adj" fmla="val 935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476250</xdr:colOff>
      <xdr:row>12</xdr:row>
      <xdr:rowOff>78620</xdr:rowOff>
    </xdr:from>
    <xdr:to>
      <xdr:col>11</xdr:col>
      <xdr:colOff>353784</xdr:colOff>
      <xdr:row>16</xdr:row>
      <xdr:rowOff>6049</xdr:rowOff>
    </xdr:to>
    <xdr:sp macro="" textlink="">
      <xdr:nvSpPr>
        <xdr:cNvPr id="6" name="Rectangle: Rounded Corners 5">
          <a:extLst>
            <a:ext uri="{FF2B5EF4-FFF2-40B4-BE49-F238E27FC236}">
              <a16:creationId xmlns:a16="http://schemas.microsoft.com/office/drawing/2014/main" id="{0ADF183E-B7C2-FDFD-B663-BBEDF9E1E234}"/>
            </a:ext>
          </a:extLst>
        </xdr:cNvPr>
        <xdr:cNvSpPr/>
      </xdr:nvSpPr>
      <xdr:spPr>
        <a:xfrm>
          <a:off x="1088571" y="2282977"/>
          <a:ext cx="6021159" cy="662215"/>
        </a:xfrm>
        <a:prstGeom prst="roundRect">
          <a:avLst>
            <a:gd name="adj" fmla="val 1054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479273</xdr:colOff>
      <xdr:row>16</xdr:row>
      <xdr:rowOff>68791</xdr:rowOff>
    </xdr:from>
    <xdr:to>
      <xdr:col>11</xdr:col>
      <xdr:colOff>360590</xdr:colOff>
      <xdr:row>24</xdr:row>
      <xdr:rowOff>118683</xdr:rowOff>
    </xdr:to>
    <xdr:sp macro="" textlink="">
      <xdr:nvSpPr>
        <xdr:cNvPr id="7" name="Rectangle: Rounded Corners 6">
          <a:extLst>
            <a:ext uri="{FF2B5EF4-FFF2-40B4-BE49-F238E27FC236}">
              <a16:creationId xmlns:a16="http://schemas.microsoft.com/office/drawing/2014/main" id="{F6153879-1593-CF89-AA8E-14F3A493F434}"/>
            </a:ext>
          </a:extLst>
        </xdr:cNvPr>
        <xdr:cNvSpPr/>
      </xdr:nvSpPr>
      <xdr:spPr>
        <a:xfrm>
          <a:off x="1091594" y="3007934"/>
          <a:ext cx="6024942" cy="1505856"/>
        </a:xfrm>
        <a:prstGeom prst="roundRect">
          <a:avLst>
            <a:gd name="adj" fmla="val 935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47777</xdr:colOff>
      <xdr:row>4</xdr:row>
      <xdr:rowOff>137582</xdr:rowOff>
    </xdr:from>
    <xdr:to>
      <xdr:col>1</xdr:col>
      <xdr:colOff>428777</xdr:colOff>
      <xdr:row>24</xdr:row>
      <xdr:rowOff>142874</xdr:rowOff>
    </xdr:to>
    <xdr:sp macro="" textlink="">
      <xdr:nvSpPr>
        <xdr:cNvPr id="8" name="Rectangle: Rounded Corners 7">
          <a:extLst>
            <a:ext uri="{FF2B5EF4-FFF2-40B4-BE49-F238E27FC236}">
              <a16:creationId xmlns:a16="http://schemas.microsoft.com/office/drawing/2014/main" id="{23A95BDB-A1CD-D05A-A01A-EE9B8011FF2C}"/>
            </a:ext>
          </a:extLst>
        </xdr:cNvPr>
        <xdr:cNvSpPr/>
      </xdr:nvSpPr>
      <xdr:spPr>
        <a:xfrm>
          <a:off x="47777" y="872368"/>
          <a:ext cx="993321" cy="3665613"/>
        </a:xfrm>
        <a:prstGeom prst="roundRect">
          <a:avLst>
            <a:gd name="adj" fmla="val 914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526717</xdr:colOff>
      <xdr:row>4</xdr:row>
      <xdr:rowOff>156482</xdr:rowOff>
    </xdr:from>
    <xdr:to>
      <xdr:col>4</xdr:col>
      <xdr:colOff>557711</xdr:colOff>
      <xdr:row>12</xdr:row>
      <xdr:rowOff>20411</xdr:rowOff>
    </xdr:to>
    <xdr:sp macro="" textlink="">
      <xdr:nvSpPr>
        <xdr:cNvPr id="9" name="Rectangle: Rounded Corners 8">
          <a:extLst>
            <a:ext uri="{FF2B5EF4-FFF2-40B4-BE49-F238E27FC236}">
              <a16:creationId xmlns:a16="http://schemas.microsoft.com/office/drawing/2014/main" id="{03950B65-A7B0-54E0-ECD4-77351F8BA9B4}"/>
            </a:ext>
          </a:extLst>
        </xdr:cNvPr>
        <xdr:cNvSpPr/>
      </xdr:nvSpPr>
      <xdr:spPr>
        <a:xfrm>
          <a:off x="1133620" y="884765"/>
          <a:ext cx="1851702" cy="1320496"/>
        </a:xfrm>
        <a:prstGeom prst="roundRect">
          <a:avLst>
            <a:gd name="adj" fmla="val 591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32504</xdr:colOff>
      <xdr:row>4</xdr:row>
      <xdr:rowOff>149679</xdr:rowOff>
    </xdr:from>
    <xdr:to>
      <xdr:col>8</xdr:col>
      <xdr:colOff>163286</xdr:colOff>
      <xdr:row>12</xdr:row>
      <xdr:rowOff>6804</xdr:rowOff>
    </xdr:to>
    <xdr:sp macro="" textlink="">
      <xdr:nvSpPr>
        <xdr:cNvPr id="10" name="Rectangle: Rounded Corners 9">
          <a:extLst>
            <a:ext uri="{FF2B5EF4-FFF2-40B4-BE49-F238E27FC236}">
              <a16:creationId xmlns:a16="http://schemas.microsoft.com/office/drawing/2014/main" id="{1EDCD178-9D75-A4C4-A722-B1CC9B3FCCDE}"/>
            </a:ext>
          </a:extLst>
        </xdr:cNvPr>
        <xdr:cNvSpPr/>
      </xdr:nvSpPr>
      <xdr:spPr>
        <a:xfrm>
          <a:off x="3094111" y="884465"/>
          <a:ext cx="1988157" cy="1326696"/>
        </a:xfrm>
        <a:prstGeom prst="roundRect">
          <a:avLst>
            <a:gd name="adj" fmla="val 444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278947</xdr:colOff>
      <xdr:row>4</xdr:row>
      <xdr:rowOff>170088</xdr:rowOff>
    </xdr:from>
    <xdr:to>
      <xdr:col>11</xdr:col>
      <xdr:colOff>381000</xdr:colOff>
      <xdr:row>11</xdr:row>
      <xdr:rowOff>170089</xdr:rowOff>
    </xdr:to>
    <xdr:sp macro="" textlink="">
      <xdr:nvSpPr>
        <xdr:cNvPr id="11" name="Rectangle: Rounded Corners 10">
          <a:extLst>
            <a:ext uri="{FF2B5EF4-FFF2-40B4-BE49-F238E27FC236}">
              <a16:creationId xmlns:a16="http://schemas.microsoft.com/office/drawing/2014/main" id="{6AD294AD-A64D-0AAF-D844-1D2832B7AFF8}"/>
            </a:ext>
          </a:extLst>
        </xdr:cNvPr>
        <xdr:cNvSpPr/>
      </xdr:nvSpPr>
      <xdr:spPr>
        <a:xfrm>
          <a:off x="5197929" y="904874"/>
          <a:ext cx="1939017" cy="1285876"/>
        </a:xfrm>
        <a:prstGeom prst="roundRect">
          <a:avLst>
            <a:gd name="adj" fmla="val 592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497097</xdr:colOff>
      <xdr:row>11</xdr:row>
      <xdr:rowOff>148165</xdr:rowOff>
    </xdr:from>
    <xdr:to>
      <xdr:col>17</xdr:col>
      <xdr:colOff>421500</xdr:colOff>
      <xdr:row>24</xdr:row>
      <xdr:rowOff>84665</xdr:rowOff>
    </xdr:to>
    <xdr:sp macro="" textlink="">
      <xdr:nvSpPr>
        <xdr:cNvPr id="17" name="Rectangle: Rounded Corners 16">
          <a:extLst>
            <a:ext uri="{FF2B5EF4-FFF2-40B4-BE49-F238E27FC236}">
              <a16:creationId xmlns:a16="http://schemas.microsoft.com/office/drawing/2014/main" id="{2B813B5C-D20B-E39A-046D-66EE85E00CC5}"/>
            </a:ext>
          </a:extLst>
        </xdr:cNvPr>
        <xdr:cNvSpPr/>
      </xdr:nvSpPr>
      <xdr:spPr>
        <a:xfrm>
          <a:off x="7199875" y="2166054"/>
          <a:ext cx="3699125" cy="2307167"/>
        </a:xfrm>
        <a:prstGeom prst="roundRect">
          <a:avLst>
            <a:gd name="adj" fmla="val 9350"/>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285749</xdr:colOff>
      <xdr:row>0</xdr:row>
      <xdr:rowOff>102054</xdr:rowOff>
    </xdr:from>
    <xdr:to>
      <xdr:col>8</xdr:col>
      <xdr:colOff>204106</xdr:colOff>
      <xdr:row>2</xdr:row>
      <xdr:rowOff>156482</xdr:rowOff>
    </xdr:to>
    <xdr:sp macro="" textlink="">
      <xdr:nvSpPr>
        <xdr:cNvPr id="20" name="TextBox 19">
          <a:extLst>
            <a:ext uri="{FF2B5EF4-FFF2-40B4-BE49-F238E27FC236}">
              <a16:creationId xmlns:a16="http://schemas.microsoft.com/office/drawing/2014/main" id="{77F5F718-EBFA-D809-5400-C40575B63BA7}"/>
            </a:ext>
          </a:extLst>
        </xdr:cNvPr>
        <xdr:cNvSpPr txBox="1"/>
      </xdr:nvSpPr>
      <xdr:spPr>
        <a:xfrm>
          <a:off x="285749" y="102054"/>
          <a:ext cx="4837339"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a:t>Hospital</a:t>
          </a:r>
          <a:r>
            <a:rPr lang="en-IN" sz="2000" baseline="0"/>
            <a:t> Emergency Room Dashboard</a:t>
          </a:r>
          <a:endParaRPr lang="en-IN" sz="2000"/>
        </a:p>
      </xdr:txBody>
    </xdr:sp>
    <xdr:clientData/>
  </xdr:twoCellAnchor>
  <xdr:twoCellAnchor editAs="oneCell">
    <xdr:from>
      <xdr:col>0</xdr:col>
      <xdr:colOff>20411</xdr:colOff>
      <xdr:row>0</xdr:row>
      <xdr:rowOff>61232</xdr:rowOff>
    </xdr:from>
    <xdr:to>
      <xdr:col>1</xdr:col>
      <xdr:colOff>299358</xdr:colOff>
      <xdr:row>4</xdr:row>
      <xdr:rowOff>36</xdr:rowOff>
    </xdr:to>
    <xdr:pic>
      <xdr:nvPicPr>
        <xdr:cNvPr id="21" name="Picture 20">
          <a:extLst>
            <a:ext uri="{FF2B5EF4-FFF2-40B4-BE49-F238E27FC236}">
              <a16:creationId xmlns:a16="http://schemas.microsoft.com/office/drawing/2014/main" id="{0ED71F32-2683-E92B-BFD4-60906A85AE8C}"/>
            </a:ext>
          </a:extLst>
        </xdr:cNvPr>
        <xdr:cNvPicPr>
          <a:picLocks noChangeAspect="1"/>
        </xdr:cNvPicPr>
      </xdr:nvPicPr>
      <xdr:blipFill rotWithShape="1">
        <a:blip xmlns:r="http://schemas.openxmlformats.org/officeDocument/2006/relationships" r:embed="rId1"/>
        <a:srcRect l="13609" t="909" r="8876" b="9090"/>
        <a:stretch>
          <a:fillRect/>
        </a:stretch>
      </xdr:blipFill>
      <xdr:spPr>
        <a:xfrm>
          <a:off x="20411" y="61232"/>
          <a:ext cx="891268" cy="673554"/>
        </a:xfrm>
        <a:prstGeom prst="rect">
          <a:avLst/>
        </a:prstGeom>
      </xdr:spPr>
    </xdr:pic>
    <xdr:clientData/>
  </xdr:twoCellAnchor>
  <xdr:twoCellAnchor editAs="absolute">
    <xdr:from>
      <xdr:col>3</xdr:col>
      <xdr:colOff>27214</xdr:colOff>
      <xdr:row>2</xdr:row>
      <xdr:rowOff>108857</xdr:rowOff>
    </xdr:from>
    <xdr:to>
      <xdr:col>6</xdr:col>
      <xdr:colOff>292553</xdr:colOff>
      <xdr:row>4</xdr:row>
      <xdr:rowOff>13607</xdr:rowOff>
    </xdr:to>
    <xdr:sp macro="" textlink="">
      <xdr:nvSpPr>
        <xdr:cNvPr id="22" name="TextBox 21">
          <a:extLst>
            <a:ext uri="{FF2B5EF4-FFF2-40B4-BE49-F238E27FC236}">
              <a16:creationId xmlns:a16="http://schemas.microsoft.com/office/drawing/2014/main" id="{77FD8307-59EE-10B5-C50B-04841112DC27}"/>
            </a:ext>
          </a:extLst>
        </xdr:cNvPr>
        <xdr:cNvSpPr txBox="1"/>
      </xdr:nvSpPr>
      <xdr:spPr>
        <a:xfrm>
          <a:off x="1864178" y="476250"/>
          <a:ext cx="210230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t>Monthly Report</a:t>
          </a:r>
          <a:r>
            <a:rPr lang="en-IN" sz="2000" baseline="0"/>
            <a:t> </a:t>
          </a:r>
          <a:endParaRPr lang="en-IN" sz="2000"/>
        </a:p>
      </xdr:txBody>
    </xdr:sp>
    <xdr:clientData/>
  </xdr:twoCellAnchor>
  <xdr:twoCellAnchor editAs="absolute">
    <xdr:from>
      <xdr:col>1</xdr:col>
      <xdr:colOff>499239</xdr:colOff>
      <xdr:row>6</xdr:row>
      <xdr:rowOff>136448</xdr:rowOff>
    </xdr:from>
    <xdr:to>
      <xdr:col>4</xdr:col>
      <xdr:colOff>558360</xdr:colOff>
      <xdr:row>8</xdr:row>
      <xdr:rowOff>41198</xdr:rowOff>
    </xdr:to>
    <xdr:sp macro="" textlink="">
      <xdr:nvSpPr>
        <xdr:cNvPr id="12" name="TextBox 11">
          <a:extLst>
            <a:ext uri="{FF2B5EF4-FFF2-40B4-BE49-F238E27FC236}">
              <a16:creationId xmlns:a16="http://schemas.microsoft.com/office/drawing/2014/main" id="{CF86408E-B4F0-64B8-E984-53BA29C132CB}"/>
            </a:ext>
          </a:extLst>
        </xdr:cNvPr>
        <xdr:cNvSpPr txBox="1"/>
      </xdr:nvSpPr>
      <xdr:spPr>
        <a:xfrm>
          <a:off x="1110153" y="1240034"/>
          <a:ext cx="1891862" cy="272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t>No. of patient</a:t>
          </a:r>
          <a:r>
            <a:rPr lang="en-IN" sz="2000" baseline="0"/>
            <a:t> </a:t>
          </a:r>
          <a:endParaRPr lang="en-IN" sz="2000"/>
        </a:p>
      </xdr:txBody>
    </xdr:sp>
    <xdr:clientData/>
  </xdr:twoCellAnchor>
  <xdr:twoCellAnchor editAs="absolute">
    <xdr:from>
      <xdr:col>5</xdr:col>
      <xdr:colOff>132692</xdr:colOff>
      <xdr:row>6</xdr:row>
      <xdr:rowOff>104917</xdr:rowOff>
    </xdr:from>
    <xdr:to>
      <xdr:col>8</xdr:col>
      <xdr:colOff>172106</xdr:colOff>
      <xdr:row>8</xdr:row>
      <xdr:rowOff>9667</xdr:rowOff>
    </xdr:to>
    <xdr:sp macro="" textlink="">
      <xdr:nvSpPr>
        <xdr:cNvPr id="13" name="TextBox 12">
          <a:extLst>
            <a:ext uri="{FF2B5EF4-FFF2-40B4-BE49-F238E27FC236}">
              <a16:creationId xmlns:a16="http://schemas.microsoft.com/office/drawing/2014/main" id="{1A7C0D81-B060-C288-0092-F6F1386C12CE}"/>
            </a:ext>
          </a:extLst>
        </xdr:cNvPr>
        <xdr:cNvSpPr txBox="1"/>
      </xdr:nvSpPr>
      <xdr:spPr>
        <a:xfrm>
          <a:off x="3187261" y="1208503"/>
          <a:ext cx="1891862" cy="272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t>Average wait time</a:t>
          </a:r>
          <a:r>
            <a:rPr lang="en-IN" sz="2000" baseline="0"/>
            <a:t> </a:t>
          </a:r>
          <a:endParaRPr lang="en-IN" sz="2000"/>
        </a:p>
      </xdr:txBody>
    </xdr:sp>
    <xdr:clientData/>
  </xdr:twoCellAnchor>
  <xdr:twoCellAnchor editAs="absolute">
    <xdr:from>
      <xdr:col>8</xdr:col>
      <xdr:colOff>311368</xdr:colOff>
      <xdr:row>6</xdr:row>
      <xdr:rowOff>145645</xdr:rowOff>
    </xdr:from>
    <xdr:to>
      <xdr:col>11</xdr:col>
      <xdr:colOff>370488</xdr:colOff>
      <xdr:row>8</xdr:row>
      <xdr:rowOff>50395</xdr:rowOff>
    </xdr:to>
    <xdr:sp macro="" textlink="">
      <xdr:nvSpPr>
        <xdr:cNvPr id="14" name="TextBox 13">
          <a:extLst>
            <a:ext uri="{FF2B5EF4-FFF2-40B4-BE49-F238E27FC236}">
              <a16:creationId xmlns:a16="http://schemas.microsoft.com/office/drawing/2014/main" id="{E7402614-61B9-2890-3A03-9BA369E52844}"/>
            </a:ext>
          </a:extLst>
        </xdr:cNvPr>
        <xdr:cNvSpPr txBox="1"/>
      </xdr:nvSpPr>
      <xdr:spPr>
        <a:xfrm>
          <a:off x="5218385" y="1249231"/>
          <a:ext cx="1891862" cy="272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t> Patient </a:t>
          </a:r>
          <a:r>
            <a:rPr lang="en-IN" sz="1400" baseline="0"/>
            <a:t>satisfation</a:t>
          </a:r>
          <a:r>
            <a:rPr lang="en-IN" sz="1200" baseline="0"/>
            <a:t> score</a:t>
          </a:r>
          <a:endParaRPr lang="en-IN" sz="1200"/>
        </a:p>
      </xdr:txBody>
    </xdr:sp>
    <xdr:clientData/>
  </xdr:twoCellAnchor>
  <xdr:twoCellAnchor editAs="absolute">
    <xdr:from>
      <xdr:col>1</xdr:col>
      <xdr:colOff>479534</xdr:colOff>
      <xdr:row>5</xdr:row>
      <xdr:rowOff>91778</xdr:rowOff>
    </xdr:from>
    <xdr:to>
      <xdr:col>4</xdr:col>
      <xdr:colOff>551793</xdr:colOff>
      <xdr:row>7</xdr:row>
      <xdr:rowOff>26275</xdr:rowOff>
    </xdr:to>
    <xdr:sp macro="" textlink="'pivot report'!A6">
      <xdr:nvSpPr>
        <xdr:cNvPr id="15" name="TextBox 14">
          <a:extLst>
            <a:ext uri="{FF2B5EF4-FFF2-40B4-BE49-F238E27FC236}">
              <a16:creationId xmlns:a16="http://schemas.microsoft.com/office/drawing/2014/main" id="{15CEE785-78ED-D3F2-98EC-A1EE5127D32F}"/>
            </a:ext>
          </a:extLst>
        </xdr:cNvPr>
        <xdr:cNvSpPr txBox="1"/>
      </xdr:nvSpPr>
      <xdr:spPr>
        <a:xfrm>
          <a:off x="1090448" y="1011433"/>
          <a:ext cx="1905000" cy="30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C36F54-9E6E-48B9-BCAA-B6B0EB4979EC}" type="TxLink">
            <a:rPr lang="en-US" sz="1600" b="0" i="0" u="none" strike="noStrike">
              <a:solidFill>
                <a:srgbClr val="000000"/>
              </a:solidFill>
              <a:latin typeface="Aptos Narrow"/>
            </a:rPr>
            <a:pPr algn="ctr"/>
            <a:t>431</a:t>
          </a:fld>
          <a:endParaRPr lang="en-IN" sz="1600"/>
        </a:p>
      </xdr:txBody>
    </xdr:sp>
    <xdr:clientData/>
  </xdr:twoCellAnchor>
  <xdr:twoCellAnchor editAs="absolute">
    <xdr:from>
      <xdr:col>5</xdr:col>
      <xdr:colOff>53864</xdr:colOff>
      <xdr:row>5</xdr:row>
      <xdr:rowOff>93092</xdr:rowOff>
    </xdr:from>
    <xdr:to>
      <xdr:col>8</xdr:col>
      <xdr:colOff>151085</xdr:colOff>
      <xdr:row>7</xdr:row>
      <xdr:rowOff>27589</xdr:rowOff>
    </xdr:to>
    <xdr:sp macro="" textlink="'pivot report'!A11">
      <xdr:nvSpPr>
        <xdr:cNvPr id="16" name="TextBox 15">
          <a:extLst>
            <a:ext uri="{FF2B5EF4-FFF2-40B4-BE49-F238E27FC236}">
              <a16:creationId xmlns:a16="http://schemas.microsoft.com/office/drawing/2014/main" id="{CF6E7564-9F92-A169-35AD-6353C1CB9F7E}"/>
            </a:ext>
          </a:extLst>
        </xdr:cNvPr>
        <xdr:cNvSpPr txBox="1"/>
      </xdr:nvSpPr>
      <xdr:spPr>
        <a:xfrm>
          <a:off x="3108433" y="1012747"/>
          <a:ext cx="1949669" cy="30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A1305F-4848-459D-A046-5AB4A1EA7760}" type="TxLink">
            <a:rPr lang="en-US" sz="1600" b="0" i="0" u="none" strike="noStrike">
              <a:solidFill>
                <a:srgbClr val="000000"/>
              </a:solidFill>
              <a:latin typeface="Aptos Narrow"/>
            </a:rPr>
            <a:pPr algn="ctr"/>
            <a:t>36.67</a:t>
          </a:fld>
          <a:endParaRPr lang="en-IN" sz="1600"/>
        </a:p>
      </xdr:txBody>
    </xdr:sp>
    <xdr:clientData/>
  </xdr:twoCellAnchor>
  <xdr:twoCellAnchor editAs="absolute">
    <xdr:from>
      <xdr:col>8</xdr:col>
      <xdr:colOff>285093</xdr:colOff>
      <xdr:row>5</xdr:row>
      <xdr:rowOff>87836</xdr:rowOff>
    </xdr:from>
    <xdr:to>
      <xdr:col>11</xdr:col>
      <xdr:colOff>357351</xdr:colOff>
      <xdr:row>7</xdr:row>
      <xdr:rowOff>22333</xdr:rowOff>
    </xdr:to>
    <xdr:sp macro="" textlink="'pivot report'!A15">
      <xdr:nvSpPr>
        <xdr:cNvPr id="18" name="TextBox 17">
          <a:extLst>
            <a:ext uri="{FF2B5EF4-FFF2-40B4-BE49-F238E27FC236}">
              <a16:creationId xmlns:a16="http://schemas.microsoft.com/office/drawing/2014/main" id="{AF397C04-7B26-C869-399E-F54225B51573}"/>
            </a:ext>
          </a:extLst>
        </xdr:cNvPr>
        <xdr:cNvSpPr txBox="1"/>
      </xdr:nvSpPr>
      <xdr:spPr>
        <a:xfrm>
          <a:off x="5192110" y="1007491"/>
          <a:ext cx="1905000" cy="30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7F03F1-5C8C-4D98-9BA4-7C30E252BC2A}" type="TxLink">
            <a:rPr lang="en-US" sz="1600" b="0" i="0" u="none" strike="noStrike">
              <a:solidFill>
                <a:srgbClr val="000000"/>
              </a:solidFill>
              <a:latin typeface="Aptos Narrow"/>
            </a:rPr>
            <a:pPr algn="ctr"/>
            <a:t>4.72</a:t>
          </a:fld>
          <a:endParaRPr lang="en-IN" sz="1600"/>
        </a:p>
      </xdr:txBody>
    </xdr:sp>
    <xdr:clientData/>
  </xdr:twoCellAnchor>
  <xdr:twoCellAnchor editAs="oneCell">
    <xdr:from>
      <xdr:col>4</xdr:col>
      <xdr:colOff>118242</xdr:colOff>
      <xdr:row>5</xdr:row>
      <xdr:rowOff>7882</xdr:rowOff>
    </xdr:from>
    <xdr:to>
      <xdr:col>4</xdr:col>
      <xdr:colOff>479535</xdr:colOff>
      <xdr:row>7</xdr:row>
      <xdr:rowOff>1313</xdr:rowOff>
    </xdr:to>
    <xdr:pic>
      <xdr:nvPicPr>
        <xdr:cNvPr id="23" name="Graphic 22" descr="Male profile with solid fill">
          <a:extLst>
            <a:ext uri="{FF2B5EF4-FFF2-40B4-BE49-F238E27FC236}">
              <a16:creationId xmlns:a16="http://schemas.microsoft.com/office/drawing/2014/main" id="{5893DB38-7B02-9435-03A0-651BA0759D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61897" y="927537"/>
          <a:ext cx="361293" cy="361293"/>
        </a:xfrm>
        <a:prstGeom prst="rect">
          <a:avLst/>
        </a:prstGeom>
      </xdr:spPr>
    </xdr:pic>
    <xdr:clientData/>
  </xdr:twoCellAnchor>
  <xdr:twoCellAnchor editAs="oneCell">
    <xdr:from>
      <xdr:col>7</xdr:col>
      <xdr:colOff>394137</xdr:colOff>
      <xdr:row>5</xdr:row>
      <xdr:rowOff>39415</xdr:rowOff>
    </xdr:from>
    <xdr:to>
      <xdr:col>8</xdr:col>
      <xdr:colOff>137947</xdr:colOff>
      <xdr:row>7</xdr:row>
      <xdr:rowOff>26277</xdr:rowOff>
    </xdr:to>
    <xdr:pic>
      <xdr:nvPicPr>
        <xdr:cNvPr id="25" name="Graphic 24" descr="Hourglass Finished with solid fill">
          <a:extLst>
            <a:ext uri="{FF2B5EF4-FFF2-40B4-BE49-F238E27FC236}">
              <a16:creationId xmlns:a16="http://schemas.microsoft.com/office/drawing/2014/main" id="{01B6AEB7-9175-A6A7-12F9-B4BE661AA02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90240" y="959070"/>
          <a:ext cx="354724" cy="354724"/>
        </a:xfrm>
        <a:prstGeom prst="rect">
          <a:avLst/>
        </a:prstGeom>
      </xdr:spPr>
    </xdr:pic>
    <xdr:clientData/>
  </xdr:twoCellAnchor>
  <xdr:twoCellAnchor editAs="oneCell">
    <xdr:from>
      <xdr:col>10</xdr:col>
      <xdr:colOff>557275</xdr:colOff>
      <xdr:row>5</xdr:row>
      <xdr:rowOff>38325</xdr:rowOff>
    </xdr:from>
    <xdr:to>
      <xdr:col>11</xdr:col>
      <xdr:colOff>308742</xdr:colOff>
      <xdr:row>7</xdr:row>
      <xdr:rowOff>32844</xdr:rowOff>
    </xdr:to>
    <xdr:pic>
      <xdr:nvPicPr>
        <xdr:cNvPr id="27" name="Graphic 26" descr="Customer review with solid fill">
          <a:extLst>
            <a:ext uri="{FF2B5EF4-FFF2-40B4-BE49-F238E27FC236}">
              <a16:creationId xmlns:a16="http://schemas.microsoft.com/office/drawing/2014/main" id="{6026A281-BB17-1E72-6379-82C666D7DD6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86120" y="957980"/>
          <a:ext cx="362381" cy="362381"/>
        </a:xfrm>
        <a:prstGeom prst="rect">
          <a:avLst/>
        </a:prstGeom>
      </xdr:spPr>
    </xdr:pic>
    <xdr:clientData/>
  </xdr:twoCellAnchor>
  <xdr:twoCellAnchor editAs="oneCell">
    <xdr:from>
      <xdr:col>0</xdr:col>
      <xdr:colOff>76531</xdr:colOff>
      <xdr:row>4</xdr:row>
      <xdr:rowOff>155222</xdr:rowOff>
    </xdr:from>
    <xdr:to>
      <xdr:col>1</xdr:col>
      <xdr:colOff>395376</xdr:colOff>
      <xdr:row>24</xdr:row>
      <xdr:rowOff>126999</xdr:rowOff>
    </xdr:to>
    <mc:AlternateContent xmlns:mc="http://schemas.openxmlformats.org/markup-compatibility/2006" xmlns:a14="http://schemas.microsoft.com/office/drawing/2010/main">
      <mc:Choice Requires="a14">
        <xdr:graphicFrame macro="">
          <xdr:nvGraphicFramePr>
            <xdr:cNvPr id="28" name="Date (Month) 1">
              <a:extLst>
                <a:ext uri="{FF2B5EF4-FFF2-40B4-BE49-F238E27FC236}">
                  <a16:creationId xmlns:a16="http://schemas.microsoft.com/office/drawing/2014/main" id="{0FC9FB90-A726-4C99-BA3D-656094882F5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6531" y="924412"/>
              <a:ext cx="925623" cy="3615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550334</xdr:colOff>
      <xdr:row>9</xdr:row>
      <xdr:rowOff>14111</xdr:rowOff>
    </xdr:from>
    <xdr:to>
      <xdr:col>4</xdr:col>
      <xdr:colOff>536222</xdr:colOff>
      <xdr:row>12</xdr:row>
      <xdr:rowOff>127000</xdr:rowOff>
    </xdr:to>
    <xdr:graphicFrame macro="">
      <xdr:nvGraphicFramePr>
        <xdr:cNvPr id="29" name="Chart 28">
          <a:hlinkClick xmlns:r="http://schemas.openxmlformats.org/officeDocument/2006/relationships" r:id="rId8"/>
          <a:extLst>
            <a:ext uri="{FF2B5EF4-FFF2-40B4-BE49-F238E27FC236}">
              <a16:creationId xmlns:a16="http://schemas.microsoft.com/office/drawing/2014/main" id="{F4605CE1-1247-446B-8D8D-940CBCF60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14112</xdr:colOff>
      <xdr:row>8</xdr:row>
      <xdr:rowOff>176389</xdr:rowOff>
    </xdr:from>
    <xdr:to>
      <xdr:col>8</xdr:col>
      <xdr:colOff>289279</xdr:colOff>
      <xdr:row>12</xdr:row>
      <xdr:rowOff>84668</xdr:rowOff>
    </xdr:to>
    <xdr:graphicFrame macro="">
      <xdr:nvGraphicFramePr>
        <xdr:cNvPr id="30" name="Chart 29">
          <a:hlinkClick xmlns:r="http://schemas.openxmlformats.org/officeDocument/2006/relationships" r:id="rId10"/>
          <a:extLst>
            <a:ext uri="{FF2B5EF4-FFF2-40B4-BE49-F238E27FC236}">
              <a16:creationId xmlns:a16="http://schemas.microsoft.com/office/drawing/2014/main" id="{7879D534-6A09-4CC9-9AAA-315927647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245865</xdr:colOff>
      <xdr:row>7</xdr:row>
      <xdr:rowOff>157886</xdr:rowOff>
    </xdr:from>
    <xdr:to>
      <xdr:col>11</xdr:col>
      <xdr:colOff>373944</xdr:colOff>
      <xdr:row>12</xdr:row>
      <xdr:rowOff>119945</xdr:rowOff>
    </xdr:to>
    <xdr:graphicFrame macro="">
      <xdr:nvGraphicFramePr>
        <xdr:cNvPr id="31" name="Chart 30">
          <a:hlinkClick xmlns:r="http://schemas.openxmlformats.org/officeDocument/2006/relationships" r:id="rId12"/>
          <a:extLst>
            <a:ext uri="{FF2B5EF4-FFF2-40B4-BE49-F238E27FC236}">
              <a16:creationId xmlns:a16="http://schemas.microsoft.com/office/drawing/2014/main" id="{EF6EC5DC-31C2-4024-AF4C-ABB9D303D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486834</xdr:colOff>
          <xdr:row>12</xdr:row>
          <xdr:rowOff>112889</xdr:rowOff>
        </xdr:from>
        <xdr:to>
          <xdr:col>11</xdr:col>
          <xdr:colOff>345722</xdr:colOff>
          <xdr:row>15</xdr:row>
          <xdr:rowOff>176388</xdr:rowOff>
        </xdr:to>
        <xdr:pic>
          <xdr:nvPicPr>
            <xdr:cNvPr id="38" name="Picture 37">
              <a:extLst>
                <a:ext uri="{FF2B5EF4-FFF2-40B4-BE49-F238E27FC236}">
                  <a16:creationId xmlns:a16="http://schemas.microsoft.com/office/drawing/2014/main" id="{E281A5F9-3983-367E-10C5-E5A22376E999}"/>
                </a:ext>
              </a:extLst>
            </xdr:cNvPr>
            <xdr:cNvPicPr>
              <a:picLocks noChangeAspect="1" noChangeArrowheads="1"/>
              <a:extLst>
                <a:ext uri="{84589F7E-364E-4C9E-8A38-B11213B215E9}">
                  <a14:cameraTool cellRange="'pivot report'!$A$46:$D$48" spid="_x0000_s1068"/>
                </a:ext>
              </a:extLst>
            </xdr:cNvPicPr>
          </xdr:nvPicPr>
          <xdr:blipFill>
            <a:blip xmlns:r="http://schemas.openxmlformats.org/officeDocument/2006/relationships" r:embed="rId14"/>
            <a:srcRect/>
            <a:stretch>
              <a:fillRect/>
            </a:stretch>
          </xdr:blipFill>
          <xdr:spPr bwMode="auto">
            <a:xfrm>
              <a:off x="1093612" y="2314222"/>
              <a:ext cx="5954888" cy="61383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543278</xdr:colOff>
      <xdr:row>16</xdr:row>
      <xdr:rowOff>148168</xdr:rowOff>
    </xdr:from>
    <xdr:to>
      <xdr:col>11</xdr:col>
      <xdr:colOff>282222</xdr:colOff>
      <xdr:row>22</xdr:row>
      <xdr:rowOff>176389</xdr:rowOff>
    </xdr:to>
    <xdr:graphicFrame macro="">
      <xdr:nvGraphicFramePr>
        <xdr:cNvPr id="19" name="Chart 18">
          <a:extLst>
            <a:ext uri="{FF2B5EF4-FFF2-40B4-BE49-F238E27FC236}">
              <a16:creationId xmlns:a16="http://schemas.microsoft.com/office/drawing/2014/main" id="{82FACF9F-AB2A-44B3-9D77-866EA84C8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7056</xdr:colOff>
      <xdr:row>23</xdr:row>
      <xdr:rowOff>21167</xdr:rowOff>
    </xdr:from>
    <xdr:to>
      <xdr:col>9</xdr:col>
      <xdr:colOff>98778</xdr:colOff>
      <xdr:row>24</xdr:row>
      <xdr:rowOff>77611</xdr:rowOff>
    </xdr:to>
    <xdr:sp macro="" textlink="">
      <xdr:nvSpPr>
        <xdr:cNvPr id="26" name="TextBox 25">
          <a:extLst>
            <a:ext uri="{FF2B5EF4-FFF2-40B4-BE49-F238E27FC236}">
              <a16:creationId xmlns:a16="http://schemas.microsoft.com/office/drawing/2014/main" id="{B53CDEF2-58E1-5DB5-E933-C555A5226A18}"/>
            </a:ext>
          </a:extLst>
        </xdr:cNvPr>
        <xdr:cNvSpPr txBox="1"/>
      </xdr:nvSpPr>
      <xdr:spPr>
        <a:xfrm>
          <a:off x="2434167" y="4226278"/>
          <a:ext cx="3153833" cy="23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No. of patient</a:t>
          </a:r>
          <a:r>
            <a:rPr lang="en-IN" sz="1200" baseline="0"/>
            <a:t> by Age group</a:t>
          </a:r>
          <a:endParaRPr lang="en-IN" sz="1200"/>
        </a:p>
      </xdr:txBody>
    </xdr:sp>
    <xdr:clientData/>
  </xdr:twoCellAnchor>
  <xdr:twoCellAnchor>
    <xdr:from>
      <xdr:col>11</xdr:col>
      <xdr:colOff>564444</xdr:colOff>
      <xdr:row>0</xdr:row>
      <xdr:rowOff>84667</xdr:rowOff>
    </xdr:from>
    <xdr:to>
      <xdr:col>14</xdr:col>
      <xdr:colOff>359832</xdr:colOff>
      <xdr:row>10</xdr:row>
      <xdr:rowOff>63500</xdr:rowOff>
    </xdr:to>
    <xdr:graphicFrame macro="">
      <xdr:nvGraphicFramePr>
        <xdr:cNvPr id="32" name="Chart 31">
          <a:extLst>
            <a:ext uri="{FF2B5EF4-FFF2-40B4-BE49-F238E27FC236}">
              <a16:creationId xmlns:a16="http://schemas.microsoft.com/office/drawing/2014/main" id="{DD6372FE-EE34-4274-86D2-21CBB8FE5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585611</xdr:colOff>
      <xdr:row>9</xdr:row>
      <xdr:rowOff>105833</xdr:rowOff>
    </xdr:from>
    <xdr:to>
      <xdr:col>14</xdr:col>
      <xdr:colOff>373945</xdr:colOff>
      <xdr:row>11</xdr:row>
      <xdr:rowOff>14111</xdr:rowOff>
    </xdr:to>
    <xdr:sp macro="" textlink="">
      <xdr:nvSpPr>
        <xdr:cNvPr id="33" name="TextBox 32">
          <a:extLst>
            <a:ext uri="{FF2B5EF4-FFF2-40B4-BE49-F238E27FC236}">
              <a16:creationId xmlns:a16="http://schemas.microsoft.com/office/drawing/2014/main" id="{57CE1574-1919-1E07-950C-3ADF4101F830}"/>
            </a:ext>
          </a:extLst>
        </xdr:cNvPr>
        <xdr:cNvSpPr txBox="1"/>
      </xdr:nvSpPr>
      <xdr:spPr>
        <a:xfrm>
          <a:off x="7288389" y="1756833"/>
          <a:ext cx="16086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Patient</a:t>
          </a:r>
          <a:r>
            <a:rPr lang="en-IN" sz="1200" baseline="0"/>
            <a:t> Attend Status</a:t>
          </a:r>
          <a:endParaRPr lang="en-IN" sz="1200"/>
        </a:p>
      </xdr:txBody>
    </xdr:sp>
    <xdr:clientData/>
  </xdr:twoCellAnchor>
  <xdr:twoCellAnchor>
    <xdr:from>
      <xdr:col>15</xdr:col>
      <xdr:colOff>7054</xdr:colOff>
      <xdr:row>0</xdr:row>
      <xdr:rowOff>84667</xdr:rowOff>
    </xdr:from>
    <xdr:to>
      <xdr:col>17</xdr:col>
      <xdr:colOff>345722</xdr:colOff>
      <xdr:row>10</xdr:row>
      <xdr:rowOff>169334</xdr:rowOff>
    </xdr:to>
    <xdr:graphicFrame macro="">
      <xdr:nvGraphicFramePr>
        <xdr:cNvPr id="34" name="Chart 33">
          <a:extLst>
            <a:ext uri="{FF2B5EF4-FFF2-40B4-BE49-F238E27FC236}">
              <a16:creationId xmlns:a16="http://schemas.microsoft.com/office/drawing/2014/main" id="{C6C8D6D3-3139-4BA4-B9D3-01D4098CE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49389</xdr:colOff>
      <xdr:row>9</xdr:row>
      <xdr:rowOff>155222</xdr:rowOff>
    </xdr:from>
    <xdr:to>
      <xdr:col>17</xdr:col>
      <xdr:colOff>275167</xdr:colOff>
      <xdr:row>11</xdr:row>
      <xdr:rowOff>28221</xdr:rowOff>
    </xdr:to>
    <xdr:sp macro="" textlink="">
      <xdr:nvSpPr>
        <xdr:cNvPr id="35" name="TextBox 34">
          <a:extLst>
            <a:ext uri="{FF2B5EF4-FFF2-40B4-BE49-F238E27FC236}">
              <a16:creationId xmlns:a16="http://schemas.microsoft.com/office/drawing/2014/main" id="{AD57FDEE-8EC4-438A-5BE4-DCDAD1384E22}"/>
            </a:ext>
          </a:extLst>
        </xdr:cNvPr>
        <xdr:cNvSpPr txBox="1"/>
      </xdr:nvSpPr>
      <xdr:spPr>
        <a:xfrm>
          <a:off x="9179278" y="1806222"/>
          <a:ext cx="1573389" cy="2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Gender</a:t>
          </a:r>
          <a:r>
            <a:rPr lang="en-IN" sz="1200" baseline="0"/>
            <a:t> wise Analysis</a:t>
          </a:r>
          <a:endParaRPr lang="en-IN" sz="1200"/>
        </a:p>
      </xdr:txBody>
    </xdr:sp>
    <xdr:clientData/>
  </xdr:twoCellAnchor>
  <xdr:twoCellAnchor>
    <xdr:from>
      <xdr:col>12</xdr:col>
      <xdr:colOff>21166</xdr:colOff>
      <xdr:row>12</xdr:row>
      <xdr:rowOff>70556</xdr:rowOff>
    </xdr:from>
    <xdr:to>
      <xdr:col>17</xdr:col>
      <xdr:colOff>359833</xdr:colOff>
      <xdr:row>23</xdr:row>
      <xdr:rowOff>28222</xdr:rowOff>
    </xdr:to>
    <xdr:graphicFrame macro="">
      <xdr:nvGraphicFramePr>
        <xdr:cNvPr id="36" name="Chart 35">
          <a:extLst>
            <a:ext uri="{FF2B5EF4-FFF2-40B4-BE49-F238E27FC236}">
              <a16:creationId xmlns:a16="http://schemas.microsoft.com/office/drawing/2014/main" id="{55B22FDC-B8FB-4CA5-AB69-CF04B3A3E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0</xdr:colOff>
      <xdr:row>22</xdr:row>
      <xdr:rowOff>155222</xdr:rowOff>
    </xdr:from>
    <xdr:to>
      <xdr:col>17</xdr:col>
      <xdr:colOff>246944</xdr:colOff>
      <xdr:row>24</xdr:row>
      <xdr:rowOff>49388</xdr:rowOff>
    </xdr:to>
    <xdr:sp macro="" textlink="">
      <xdr:nvSpPr>
        <xdr:cNvPr id="39" name="TextBox 38">
          <a:extLst>
            <a:ext uri="{FF2B5EF4-FFF2-40B4-BE49-F238E27FC236}">
              <a16:creationId xmlns:a16="http://schemas.microsoft.com/office/drawing/2014/main" id="{19C256BC-4F71-2B88-3CA2-2AD26E937C17}"/>
            </a:ext>
          </a:extLst>
        </xdr:cNvPr>
        <xdr:cNvSpPr txBox="1"/>
      </xdr:nvSpPr>
      <xdr:spPr>
        <a:xfrm>
          <a:off x="7309556" y="4176889"/>
          <a:ext cx="3414888" cy="26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No. of Patient</a:t>
          </a:r>
          <a:r>
            <a:rPr lang="en-IN" sz="1200" baseline="0"/>
            <a:t> by Department Referal</a:t>
          </a:r>
          <a:endParaRPr lang="en-IN" sz="1200"/>
        </a:p>
      </xdr:txBody>
    </xdr:sp>
    <xdr:clientData/>
  </xdr:twoCellAnchor>
  <xdr:twoCellAnchor editAs="oneCell">
    <xdr:from>
      <xdr:col>9</xdr:col>
      <xdr:colOff>176390</xdr:colOff>
      <xdr:row>1</xdr:row>
      <xdr:rowOff>49389</xdr:rowOff>
    </xdr:from>
    <xdr:to>
      <xdr:col>11</xdr:col>
      <xdr:colOff>395057</xdr:colOff>
      <xdr:row>3</xdr:row>
      <xdr:rowOff>119945</xdr:rowOff>
    </xdr:to>
    <mc:AlternateContent xmlns:mc="http://schemas.openxmlformats.org/markup-compatibility/2006">
      <mc:Choice xmlns:a14="http://schemas.microsoft.com/office/drawing/2010/main" Requires="a14">
        <xdr:graphicFrame macro="">
          <xdr:nvGraphicFramePr>
            <xdr:cNvPr id="40" name="Date (Year)">
              <a:extLst>
                <a:ext uri="{FF2B5EF4-FFF2-40B4-BE49-F238E27FC236}">
                  <a16:creationId xmlns:a16="http://schemas.microsoft.com/office/drawing/2014/main" id="{8C98B989-AB36-4212-8402-A717A63654A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665171" y="233936"/>
              <a:ext cx="1433105" cy="43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17</xdr:col>
      <xdr:colOff>502920</xdr:colOff>
      <xdr:row>18</xdr:row>
      <xdr:rowOff>114300</xdr:rowOff>
    </xdr:to>
    <xdr:graphicFrame macro="">
      <xdr:nvGraphicFramePr>
        <xdr:cNvPr id="2" name="Chart 1">
          <a:extLst>
            <a:ext uri="{FF2B5EF4-FFF2-40B4-BE49-F238E27FC236}">
              <a16:creationId xmlns:a16="http://schemas.microsoft.com/office/drawing/2014/main" id="{F1F47BE8-0EF8-47BE-8702-20E33EA51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137160</xdr:rowOff>
    </xdr:from>
    <xdr:to>
      <xdr:col>0</xdr:col>
      <xdr:colOff>548640</xdr:colOff>
      <xdr:row>3</xdr:row>
      <xdr:rowOff>137160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05B48BBA-9633-D6B3-DF22-61768C6B72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7160"/>
          <a:ext cx="548640" cy="548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251460</xdr:colOff>
      <xdr:row>0</xdr:row>
      <xdr:rowOff>0</xdr:rowOff>
    </xdr:from>
    <xdr:to>
      <xdr:col>17</xdr:col>
      <xdr:colOff>381000</xdr:colOff>
      <xdr:row>19</xdr:row>
      <xdr:rowOff>167640</xdr:rowOff>
    </xdr:to>
    <xdr:graphicFrame macro="">
      <xdr:nvGraphicFramePr>
        <xdr:cNvPr id="2" name="Chart 1">
          <a:extLst>
            <a:ext uri="{FF2B5EF4-FFF2-40B4-BE49-F238E27FC236}">
              <a16:creationId xmlns:a16="http://schemas.microsoft.com/office/drawing/2014/main" id="{EE5A4E8D-1A7C-4393-95BF-7B34237C0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0.00218</cdr:x>
      <cdr:y>0.01255</cdr:y>
    </cdr:from>
    <cdr:to>
      <cdr:x>0.05447</cdr:x>
      <cdr:y>0.16318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39B7CB1-ED9D-17FF-473A-759B43C514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2860" y="45720"/>
          <a:ext cx="548640" cy="54864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152400</xdr:colOff>
      <xdr:row>1</xdr:row>
      <xdr:rowOff>68580</xdr:rowOff>
    </xdr:from>
    <xdr:to>
      <xdr:col>16</xdr:col>
      <xdr:colOff>510540</xdr:colOff>
      <xdr:row>21</xdr:row>
      <xdr:rowOff>38100</xdr:rowOff>
    </xdr:to>
    <xdr:graphicFrame macro="">
      <xdr:nvGraphicFramePr>
        <xdr:cNvPr id="2" name="Chart 1">
          <a:extLst>
            <a:ext uri="{FF2B5EF4-FFF2-40B4-BE49-F238E27FC236}">
              <a16:creationId xmlns:a16="http://schemas.microsoft.com/office/drawing/2014/main" id="{E1E381B8-B370-4328-9C23-0EF8BE3C9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1</xdr:row>
      <xdr:rowOff>68580</xdr:rowOff>
    </xdr:from>
    <xdr:to>
      <xdr:col>1</xdr:col>
      <xdr:colOff>91440</xdr:colOff>
      <xdr:row>4</xdr:row>
      <xdr:rowOff>68580</xdr:rowOff>
    </xdr:to>
    <xdr:pic>
      <xdr:nvPicPr>
        <xdr:cNvPr id="4" name="Graphic 1" descr="Home with solid fill">
          <a:hlinkClick xmlns:r="http://schemas.openxmlformats.org/officeDocument/2006/relationships" r:id="rId2"/>
          <a:extLst>
            <a:ext uri="{FF2B5EF4-FFF2-40B4-BE49-F238E27FC236}">
              <a16:creationId xmlns:a16="http://schemas.microsoft.com/office/drawing/2014/main" id="{9C80BA39-6E54-A284-3237-41611DB7F2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0" y="251460"/>
          <a:ext cx="548640" cy="5486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1574071" createdVersion="5" refreshedVersion="8" minRefreshableVersion="3" recordCount="0" supportSubquery="1" supportAdvancedDrill="1" xr:uid="{DBC26AF9-84C1-4691-A011-4DEC48099283}">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203704" createdVersion="5" refreshedVersion="8" minRefreshableVersion="3" recordCount="0" supportSubquery="1" supportAdvancedDrill="1" xr:uid="{5CE9C44E-B96A-45E3-A9F6-348B66B020B9}">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2384256" createdVersion="5" refreshedVersion="8" minRefreshableVersion="3" recordCount="0" supportSubquery="1" supportAdvancedDrill="1" xr:uid="{03E01C2C-DDA7-4247-9E1E-F90F608E32A8}">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2847225" createdVersion="5" refreshedVersion="8" minRefreshableVersion="3" recordCount="0" supportSubquery="1" supportAdvancedDrill="1" xr:uid="{C3B9088C-ED6E-41D2-8ADF-07EAFB000FAD}">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3773149" createdVersion="5" refreshedVersion="8" minRefreshableVersion="3" recordCount="0" supportSubquery="1" supportAdvancedDrill="1" xr:uid="{04638682-5E6A-41D9-99EC-A4C3040C7BEC}">
  <cacheSource type="external" connectionId="3"/>
  <cacheFields count="4">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4583334" createdVersion="5" refreshedVersion="8" minRefreshableVersion="3" recordCount="0" supportSubquery="1" supportAdvancedDrill="1" xr:uid="{6676FE8B-513F-4AE3-9A0F-A92C92ECBAAF}">
  <cacheSource type="external" connectionId="3"/>
  <cacheFields count="4">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5046296" createdVersion="5" refreshedVersion="8" minRefreshableVersion="3" recordCount="0" supportSubquery="1" supportAdvancedDrill="1" xr:uid="{5E49CAEC-9E84-4BF4-864B-8E60AD570D69}">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5856481" createdVersion="5" refreshedVersion="8" minRefreshableVersion="3" recordCount="0" supportSubquery="1" supportAdvancedDrill="1" xr:uid="{FB5B3114-6425-480C-9AF3-48A2F147E9C8}">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p].[Age grop]" caption="Age grop" numFmtId="0" hierarchy="16" level="1">
      <sharedItems count="8">
        <s v="0-09"/>
        <s v="10-19"/>
        <s v="20-29"/>
        <s v="30-39"/>
        <s v="40-49"/>
        <s v="50-59"/>
        <s v="60-69"/>
        <s v="70-79"/>
      </sharedItems>
    </cacheField>
    <cacheField name="[Measures].[Count of Age grop]" caption="Count of Age gro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6666666" createdVersion="5" refreshedVersion="8" minRefreshableVersion="3" recordCount="0" supportSubquery="1" supportAdvancedDrill="1" xr:uid="{1BC01C82-4620-4370-AF21-D17845CB6E82}">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al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7361113" createdVersion="5" refreshedVersion="8" minRefreshableVersion="3" recordCount="0" supportSubquery="1" supportAdvancedDrill="1" xr:uid="{241C6D06-DE2A-45E5-BDC8-3D158085C7F6}">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7939813" createdVersion="5" refreshedVersion="8" minRefreshableVersion="3" recordCount="0" supportSubquery="1" supportAdvancedDrill="1" xr:uid="{7E933CAE-D394-4EFD-88FB-D3D6B8A6FECB}">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91218402775" createdVersion="5" refreshedVersion="8" minRefreshableVersion="3" recordCount="0" supportSubquery="1" supportAdvancedDrill="1" xr:uid="{50C6E559-8248-4561-9BE8-01187BD2036D}">
  <cacheSource type="external" connectionId="3"/>
  <cacheFields count="4">
    <cacheField name="[Calender_table].[Date (Month)].[Date (Month)]" caption="Date (Month)" numFmtId="0" hierarchy="1" level="1">
      <sharedItems count="1">
        <s v="Oct"/>
      </sharedItems>
    </cacheField>
    <cacheField name="[Calender_table].[Date].[Date]" caption="Date" numFmtId="0" level="1">
      <sharedItems containsSemiMixedTypes="0" containsNonDate="0" containsDate="1" containsString="0" minDate="2023-10-01T00:00:00" maxDate="2024-10-31T00:00:00" count="61">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Patel" refreshedDate="46114.685019212964" createdVersion="3" refreshedVersion="8" minRefreshableVersion="3" recordCount="0" supportSubquery="1" supportAdvancedDrill="1" xr:uid="{85F0952A-2E35-4B3E-B9EC-1B96B920DED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p]" caption="Age grop" attribute="1" defaultMemberUniqueName="[Hospital Emergency Room Data].[Age grop].[All]" allUniqueName="[Hospital Emergency Room Data].[Age gro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p]" caption="Count of Age gro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973802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2E2A0-4CD0-4D32-95C0-81E02E25C6EA}" name="PivotTable14" cacheId="1444" applyNumberFormats="0" applyBorderFormats="0" applyFontFormats="0" applyPatternFormats="0" applyAlignmentFormats="0" applyWidthHeightFormats="1" dataCaption="Values" tag="85fa5f6f-5635-4046-867e-6b5d2777d07b" updatedVersion="8" minRefreshableVersion="3" subtotalHiddenItems="1" itemPrintTitles="1" createdVersion="5" indent="0" outline="1" outlineData="1" multipleFieldFilters="0">
  <location ref="A18:A2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22">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071195-4896-4F7D-A570-5D721CEE8F85}" name="PivotTable13" cacheId="1441" applyNumberFormats="0" applyBorderFormats="0" applyFontFormats="0" applyPatternFormats="0" applyAlignmentFormats="0" applyWidthHeightFormats="1" dataCaption="Values" tag="85fa5f6f-5635-4046-867e-6b5d2777d07b" updatedVersion="8" minRefreshableVersion="3" subtotalHiddenItems="1" itemPrintTitles="1" createdVersion="5" indent="0" outline="1" outlineData="1" multipleFieldFilters="0" chartFormat="37">
  <location ref="A72:B8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1">
    <format dxfId="284">
      <pivotArea outline="0" collapsedLevelsAreSubtotals="1" fieldPosition="0"/>
    </format>
  </formats>
  <chartFormats count="1">
    <chartFormat chart="3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85904-EC0E-4C5F-ACC5-EB5CC2E7A39A}" name="PivotTable12" cacheId="1438" applyNumberFormats="0" applyBorderFormats="0" applyFontFormats="0" applyPatternFormats="0" applyAlignmentFormats="0" applyWidthHeightFormats="1" dataCaption="Values" tag="85fa5f6f-5635-4046-867e-6b5d2777d07b" updatedVersion="8" minRefreshableVersion="3" subtotalHiddenItems="1" itemPrintTitles="1" createdVersion="5" indent="0" outline="1" outlineData="1" multipleFieldFilters="0" chartFormat="30">
  <location ref="A67:B7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285">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0"/>
          </reference>
        </references>
      </pivotArea>
    </chartFormat>
    <chartFormat chart="2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14A218-7DCB-459E-8738-1923E5148CBE}" name="PivotTable11" cacheId="1435" applyNumberFormats="0" applyBorderFormats="0" applyFontFormats="0" applyPatternFormats="0" applyAlignmentFormats="0" applyWidthHeightFormats="1" dataCaption="Values" tag="85fa5f6f-5635-4046-867e-6b5d2777d07b" updatedVersion="8" minRefreshableVersion="3" subtotalHiddenItems="1" itemPrintTitles="1" createdVersion="5" indent="0" outline="1" outlineData="1" multipleFieldFilters="0" chartFormat="23">
  <location ref="A61:B6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287">
      <pivotArea outline="0" collapsedLevelsAreSubtotals="1" fieldPosition="0"/>
    </format>
    <format dxfId="286">
      <pivotArea collapsedLevelsAreSubtotals="1" fieldPosition="0">
        <references count="1">
          <reference field="2"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B19829-A620-443C-94EF-A02988D95DA1}" name="PivotTable10" cacheId="1432" applyNumberFormats="0" applyBorderFormats="0" applyFontFormats="0" applyPatternFormats="0" applyAlignmentFormats="0" applyWidthHeightFormats="1" dataCaption="Values" tag="85fa5f6f-5635-4046-867e-6b5d2777d07b" updatedVersion="8" minRefreshableVersion="3" subtotalHiddenItems="1" itemPrintTitles="1" createdVersion="5" indent="0" outline="1" outlineData="1" multipleFieldFilters="0" chartFormat="9">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p" fld="2" subtotal="count" baseField="0" baseItem="0"/>
  </dataFields>
  <formats count="1">
    <format dxfId="28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C047DB-7E10-428E-B894-353FB0999F8C}" name="PivotTable1" cacheId="1414" applyNumberFormats="0" applyBorderFormats="0" applyFontFormats="0" applyPatternFormats="0" applyAlignmentFormats="0" applyWidthHeightFormats="1" dataCaption="Values" tag="2aacf751-7985-4bcf-91ef-27c7833660f1"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ABFB81-882A-4DCA-A42B-E818717561A0}" name="PivotTable2" cacheId="1417" applyNumberFormats="0" applyBorderFormats="0" applyFontFormats="0" applyPatternFormats="0" applyAlignmentFormats="0" applyWidthHeightFormats="1" dataCaption="Values" tag="d4307675-ef1a-4478-89f0-9d4140a68482"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89">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4C82C0-D475-4D5F-933F-E504CCF0E4BD}" name="PivotTable7" cacheId="1429" applyNumberFormats="0" applyBorderFormats="0" applyFontFormats="0" applyPatternFormats="0" applyAlignmentFormats="0" applyWidthHeightFormats="1" dataCaption="Values" tag="85fa5f6f-5635-4046-867e-6b5d2777d07b" updatedVersion="8" minRefreshableVersion="3" subtotalHiddenItems="1" itemPrintTitles="1" createdVersion="5" indent="0" outline="1" outlineData="1" multipleFieldFilters="0" chartFormat="3">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91">
      <pivotArea outline="0" collapsedLevelsAreSubtotals="1" fieldPosition="0"/>
    </format>
    <format dxfId="29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87E532-EED6-4BC1-801F-F18FDD5F0584}" name="PivotTable6" cacheId="1426" applyNumberFormats="0" applyBorderFormats="0" applyFontFormats="0" applyPatternFormats="0" applyAlignmentFormats="0" applyWidthHeightFormats="1" dataCaption="Values" tag="2aacf751-7985-4bcf-91ef-27c7833660f1" updatedVersion="8" minRefreshableVersion="3" subtotalHiddenItems="1" itemPrintTitles="1" createdVersion="5" indent="0" outline="1" outlineData="1" multipleFieldFilters="0" chartFormat="32">
  <location ref="K5:L34"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292">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CA5A08-2BF3-4025-B3BC-5C59A69C29AB}" name="PivotTable3" cacheId="1420" applyNumberFormats="0" applyBorderFormats="0" applyFontFormats="0" applyPatternFormats="0" applyAlignmentFormats="0" applyWidthHeightFormats="1" dataCaption="Values" tag="85fa5f6f-5635-4046-867e-6b5d2777d07b"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93">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2C7F3F-7BC6-4C47-826A-06561552E60D}" name="PivotTable5" cacheId="1423" applyNumberFormats="0" applyBorderFormats="0" applyFontFormats="0" applyPatternFormats="0" applyAlignmentFormats="0" applyWidthHeightFormats="1" dataCaption="Values" tag="2aacf751-7985-4bcf-91ef-27c7833660f1" updatedVersion="8" minRefreshableVersion="3" subtotalHiddenItems="1" itemPrintTitles="1" createdVersion="5" indent="0" outline="1" outlineData="1" multipleFieldFilters="0" chartFormat="27">
  <location ref="H5:I35"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294">
      <pivotArea outline="0" collapsedLevelsAreSubtotals="1" fieldPosition="0"/>
    </format>
  </formats>
  <chartFormats count="3">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6098D0-44E8-4DC8-AAD9-BA57505E245F}" name="PivotTable4" cacheId="1411" applyNumberFormats="0" applyBorderFormats="0" applyFontFormats="0" applyPatternFormats="0" applyAlignmentFormats="0" applyWidthHeightFormats="1" dataCaption="Values" tag="2aacf751-7985-4bcf-91ef-27c7833660f1" updatedVersion="8" minRefreshableVersion="3" subtotalHiddenItems="1" itemPrintTitles="1" createdVersion="5" indent="0" outline="1" outlineData="1" multipleFieldFilters="0" chartFormat="15">
  <location ref="D5:E35"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F37AB0D-13B3-4218-9981-938F887A9B36}"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0"/>
    <pivotTable tabId="1" name="PivotTable11"/>
    <pivotTable tabId="1" name="PivotTable12"/>
    <pivotTable tabId="1" name="PivotTable13"/>
    <pivotTable tabId="1" name="PivotTable14"/>
  </pivotTables>
  <data>
    <olap pivotCacheId="159738022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C6157B7-9DA5-4632-8533-4699FB2CA139}"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s>
  <data>
    <olap pivotCacheId="159738022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6355795-B671-4FE0-A1B6-2021CD05E608}" cache="Slicer_Date__Month" caption="Date (Month)" showCaption="0" level="1" style="my stlye" rowHeight="259200"/>
  <slicer name="Date (Year)" xr10:uid="{BF86FF0E-A358-488A-9EDA-2A02BCDA3013}" cache="Slicer_Date__Year" caption="Date (Year)" columnCount="2" showCaption="0" level="1" style="my stly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F2B1-AEEB-4DC1-9276-29ACC97C8AAC}">
  <dimension ref="A3:L81"/>
  <sheetViews>
    <sheetView topLeftCell="A10" zoomScale="114" workbookViewId="0">
      <selection activeCell="B16" sqref="B16"/>
    </sheetView>
  </sheetViews>
  <sheetFormatPr defaultRowHeight="14.4" x14ac:dyDescent="0.3"/>
  <cols>
    <col min="1" max="1" width="15.21875" customWidth="1"/>
    <col min="2" max="2" width="28.21875" bestFit="1" customWidth="1"/>
    <col min="3" max="3" width="9.6640625" customWidth="1"/>
    <col min="4" max="4" width="20.5546875" customWidth="1"/>
    <col min="5" max="5" width="23.88671875" bestFit="1" customWidth="1"/>
    <col min="8" max="8" width="12.44140625" bestFit="1" customWidth="1"/>
    <col min="9" max="9" width="23.88671875" bestFit="1" customWidth="1"/>
    <col min="11" max="11" width="12.44140625" bestFit="1" customWidth="1"/>
    <col min="12" max="12" width="29.21875" bestFit="1" customWidth="1"/>
  </cols>
  <sheetData>
    <row r="3" spans="1:12" x14ac:dyDescent="0.3">
      <c r="A3" t="s">
        <v>1</v>
      </c>
    </row>
    <row r="4" spans="1:12" x14ac:dyDescent="0.3">
      <c r="D4" t="s">
        <v>6</v>
      </c>
      <c r="H4" t="s">
        <v>7</v>
      </c>
      <c r="K4" t="s">
        <v>8</v>
      </c>
    </row>
    <row r="5" spans="1:12" x14ac:dyDescent="0.3">
      <c r="A5" t="s">
        <v>0</v>
      </c>
      <c r="D5" s="3" t="s">
        <v>5</v>
      </c>
      <c r="E5" t="s">
        <v>0</v>
      </c>
      <c r="H5" s="3" t="s">
        <v>5</v>
      </c>
      <c r="I5" t="s">
        <v>2</v>
      </c>
      <c r="K5" s="3" t="s">
        <v>5</v>
      </c>
      <c r="L5" t="s">
        <v>3</v>
      </c>
    </row>
    <row r="6" spans="1:12" x14ac:dyDescent="0.3">
      <c r="A6" s="11">
        <v>431</v>
      </c>
      <c r="D6" s="4" t="s">
        <v>16</v>
      </c>
      <c r="E6" s="11">
        <v>13</v>
      </c>
      <c r="H6" s="4" t="s">
        <v>16</v>
      </c>
      <c r="I6" s="1">
        <v>35.692307692307693</v>
      </c>
      <c r="K6" s="4" t="s">
        <v>16</v>
      </c>
      <c r="L6" s="1">
        <v>4.166666666666667</v>
      </c>
    </row>
    <row r="7" spans="1:12" x14ac:dyDescent="0.3">
      <c r="D7" s="4" t="s">
        <v>17</v>
      </c>
      <c r="E7" s="11">
        <v>10</v>
      </c>
      <c r="H7" s="4" t="s">
        <v>17</v>
      </c>
      <c r="I7" s="1">
        <v>45.4</v>
      </c>
      <c r="K7" s="4" t="s">
        <v>17</v>
      </c>
      <c r="L7" s="1">
        <v>5.75</v>
      </c>
    </row>
    <row r="8" spans="1:12" x14ac:dyDescent="0.3">
      <c r="D8" s="4" t="s">
        <v>18</v>
      </c>
      <c r="E8" s="11">
        <v>8</v>
      </c>
      <c r="H8" s="4" t="s">
        <v>18</v>
      </c>
      <c r="I8" s="1">
        <v>29.375</v>
      </c>
      <c r="K8" s="4" t="s">
        <v>18</v>
      </c>
      <c r="L8" s="1">
        <v>4.75</v>
      </c>
    </row>
    <row r="9" spans="1:12" x14ac:dyDescent="0.3">
      <c r="D9" s="4" t="s">
        <v>19</v>
      </c>
      <c r="E9" s="11">
        <v>12</v>
      </c>
      <c r="H9" s="4" t="s">
        <v>19</v>
      </c>
      <c r="I9" s="1">
        <v>34.583333333333336</v>
      </c>
      <c r="K9" s="4" t="s">
        <v>19</v>
      </c>
      <c r="L9" s="1">
        <v>7</v>
      </c>
    </row>
    <row r="10" spans="1:12" x14ac:dyDescent="0.3">
      <c r="A10" t="s">
        <v>2</v>
      </c>
      <c r="D10" s="4" t="s">
        <v>20</v>
      </c>
      <c r="E10" s="11">
        <v>19</v>
      </c>
      <c r="H10" s="4" t="s">
        <v>20</v>
      </c>
      <c r="I10" s="1">
        <v>38.684210526315788</v>
      </c>
      <c r="K10" s="4" t="s">
        <v>20</v>
      </c>
      <c r="L10" s="1">
        <v>3.1428571428571428</v>
      </c>
    </row>
    <row r="11" spans="1:12" x14ac:dyDescent="0.3">
      <c r="A11" s="1">
        <v>36.670533642691417</v>
      </c>
      <c r="D11" s="4" t="s">
        <v>21</v>
      </c>
      <c r="E11" s="11">
        <v>9</v>
      </c>
      <c r="H11" s="4" t="s">
        <v>21</v>
      </c>
      <c r="I11" s="1">
        <v>34.777777777777779</v>
      </c>
      <c r="K11" s="4" t="s">
        <v>21</v>
      </c>
      <c r="L11" s="1">
        <v>8</v>
      </c>
    </row>
    <row r="12" spans="1:12" x14ac:dyDescent="0.3">
      <c r="D12" s="4" t="s">
        <v>22</v>
      </c>
      <c r="E12" s="11">
        <v>13</v>
      </c>
      <c r="H12" s="4" t="s">
        <v>22</v>
      </c>
      <c r="I12" s="1">
        <v>37.307692307692307</v>
      </c>
      <c r="K12" s="4" t="s">
        <v>22</v>
      </c>
      <c r="L12" s="1">
        <v>5.25</v>
      </c>
    </row>
    <row r="13" spans="1:12" x14ac:dyDescent="0.3">
      <c r="D13" s="4" t="s">
        <v>23</v>
      </c>
      <c r="E13" s="11">
        <v>19</v>
      </c>
      <c r="H13" s="4" t="s">
        <v>23</v>
      </c>
      <c r="I13" s="1">
        <v>35.631578947368418</v>
      </c>
      <c r="K13" s="4" t="s">
        <v>23</v>
      </c>
      <c r="L13" s="1">
        <v>4.5714285714285712</v>
      </c>
    </row>
    <row r="14" spans="1:12" x14ac:dyDescent="0.3">
      <c r="A14" t="s">
        <v>3</v>
      </c>
      <c r="D14" s="4" t="s">
        <v>24</v>
      </c>
      <c r="E14" s="11">
        <v>10</v>
      </c>
      <c r="H14" s="4" t="s">
        <v>24</v>
      </c>
      <c r="I14" s="1">
        <v>36.6</v>
      </c>
      <c r="K14" s="4" t="s">
        <v>24</v>
      </c>
      <c r="L14" s="1">
        <v>2.75</v>
      </c>
    </row>
    <row r="15" spans="1:12" x14ac:dyDescent="0.3">
      <c r="A15" s="1">
        <v>4.7154471544715451</v>
      </c>
      <c r="D15" s="4" t="s">
        <v>25</v>
      </c>
      <c r="E15" s="11">
        <v>20</v>
      </c>
      <c r="H15" s="4" t="s">
        <v>25</v>
      </c>
      <c r="I15" s="1">
        <v>39.700000000000003</v>
      </c>
      <c r="K15" s="4" t="s">
        <v>25</v>
      </c>
      <c r="L15" s="1">
        <v>4.5</v>
      </c>
    </row>
    <row r="16" spans="1:12" x14ac:dyDescent="0.3">
      <c r="D16" s="4" t="s">
        <v>26</v>
      </c>
      <c r="E16" s="11">
        <v>15</v>
      </c>
      <c r="H16" s="4" t="s">
        <v>26</v>
      </c>
      <c r="I16" s="1">
        <v>37.4</v>
      </c>
      <c r="K16" s="4" t="s">
        <v>26</v>
      </c>
      <c r="L16" s="1">
        <v>5.5</v>
      </c>
    </row>
    <row r="17" spans="1:12" x14ac:dyDescent="0.3">
      <c r="D17" s="4" t="s">
        <v>27</v>
      </c>
      <c r="E17" s="11">
        <v>13</v>
      </c>
      <c r="H17" s="4" t="s">
        <v>27</v>
      </c>
      <c r="I17" s="1">
        <v>27.76923076923077</v>
      </c>
      <c r="K17" s="4" t="s">
        <v>27</v>
      </c>
      <c r="L17" s="1">
        <v>5.6</v>
      </c>
    </row>
    <row r="18" spans="1:12" x14ac:dyDescent="0.3">
      <c r="A18" s="3" t="s">
        <v>5</v>
      </c>
      <c r="D18" s="4" t="s">
        <v>28</v>
      </c>
      <c r="E18" s="11">
        <v>9</v>
      </c>
      <c r="H18" s="4" t="s">
        <v>28</v>
      </c>
      <c r="I18" s="1">
        <v>38.777777777777779</v>
      </c>
      <c r="K18" s="4" t="s">
        <v>28</v>
      </c>
      <c r="L18" s="1">
        <v>5.75</v>
      </c>
    </row>
    <row r="19" spans="1:12" x14ac:dyDescent="0.3">
      <c r="A19" s="4" t="s">
        <v>72</v>
      </c>
      <c r="D19" s="4" t="s">
        <v>29</v>
      </c>
      <c r="E19" s="11">
        <v>19</v>
      </c>
      <c r="H19" s="4" t="s">
        <v>29</v>
      </c>
      <c r="I19" s="1">
        <v>31</v>
      </c>
      <c r="K19" s="4" t="s">
        <v>29</v>
      </c>
      <c r="L19" s="1">
        <v>3.4444444444444446</v>
      </c>
    </row>
    <row r="20" spans="1:12" x14ac:dyDescent="0.3">
      <c r="A20" s="4" t="s">
        <v>4</v>
      </c>
      <c r="D20" s="4" t="s">
        <v>30</v>
      </c>
      <c r="E20" s="11">
        <v>14</v>
      </c>
      <c r="H20" s="4" t="s">
        <v>30</v>
      </c>
      <c r="I20" s="1">
        <v>35.928571428571431</v>
      </c>
      <c r="K20" s="4" t="s">
        <v>30</v>
      </c>
      <c r="L20" s="1">
        <v>1.5</v>
      </c>
    </row>
    <row r="21" spans="1:12" x14ac:dyDescent="0.3">
      <c r="D21" s="4" t="s">
        <v>31</v>
      </c>
      <c r="E21" s="11">
        <v>17</v>
      </c>
      <c r="H21" s="4" t="s">
        <v>31</v>
      </c>
      <c r="I21" s="1">
        <v>37.882352941176471</v>
      </c>
      <c r="K21" s="4" t="s">
        <v>31</v>
      </c>
      <c r="L21" s="1">
        <v>3.6666666666666665</v>
      </c>
    </row>
    <row r="22" spans="1:12" x14ac:dyDescent="0.3">
      <c r="D22" s="4" t="s">
        <v>32</v>
      </c>
      <c r="E22" s="11">
        <v>17</v>
      </c>
      <c r="H22" s="4" t="s">
        <v>32</v>
      </c>
      <c r="I22" s="1">
        <v>40.588235294117645</v>
      </c>
      <c r="K22" s="4" t="s">
        <v>32</v>
      </c>
      <c r="L22" s="1">
        <v>4.4285714285714288</v>
      </c>
    </row>
    <row r="23" spans="1:12" x14ac:dyDescent="0.3">
      <c r="D23" s="4" t="s">
        <v>33</v>
      </c>
      <c r="E23" s="11">
        <v>15</v>
      </c>
      <c r="H23" s="4" t="s">
        <v>33</v>
      </c>
      <c r="I23" s="1">
        <v>34.533333333333331</v>
      </c>
      <c r="K23" s="4" t="s">
        <v>33</v>
      </c>
      <c r="L23" s="1">
        <v>6</v>
      </c>
    </row>
    <row r="24" spans="1:12" x14ac:dyDescent="0.3">
      <c r="D24" s="4" t="s">
        <v>34</v>
      </c>
      <c r="E24" s="11">
        <v>9</v>
      </c>
      <c r="H24" s="4" t="s">
        <v>34</v>
      </c>
      <c r="I24" s="1">
        <v>40.333333333333336</v>
      </c>
      <c r="K24" s="4" t="s">
        <v>34</v>
      </c>
      <c r="L24" s="1">
        <v>2.6666666666666665</v>
      </c>
    </row>
    <row r="25" spans="1:12" x14ac:dyDescent="0.3">
      <c r="D25" s="4" t="s">
        <v>35</v>
      </c>
      <c r="E25" s="11">
        <v>14</v>
      </c>
      <c r="H25" s="4" t="s">
        <v>35</v>
      </c>
      <c r="I25" s="1">
        <v>35.285714285714285</v>
      </c>
      <c r="K25" s="4" t="s">
        <v>35</v>
      </c>
      <c r="L25" s="1">
        <v>7.5</v>
      </c>
    </row>
    <row r="26" spans="1:12" x14ac:dyDescent="0.3">
      <c r="D26" s="4" t="s">
        <v>36</v>
      </c>
      <c r="E26" s="11">
        <v>22</v>
      </c>
      <c r="H26" s="4" t="s">
        <v>36</v>
      </c>
      <c r="I26" s="1">
        <v>35.5</v>
      </c>
      <c r="K26" s="4" t="s">
        <v>36</v>
      </c>
      <c r="L26" s="1">
        <v>4.5</v>
      </c>
    </row>
    <row r="27" spans="1:12" x14ac:dyDescent="0.3">
      <c r="D27" s="4" t="s">
        <v>37</v>
      </c>
      <c r="E27" s="11">
        <v>16</v>
      </c>
      <c r="H27" s="4" t="s">
        <v>37</v>
      </c>
      <c r="I27" s="1">
        <v>38.5625</v>
      </c>
      <c r="K27" s="4" t="s">
        <v>37</v>
      </c>
      <c r="L27" s="1">
        <v>8</v>
      </c>
    </row>
    <row r="28" spans="1:12" x14ac:dyDescent="0.3">
      <c r="D28" s="4" t="s">
        <v>38</v>
      </c>
      <c r="E28" s="11">
        <v>22</v>
      </c>
      <c r="H28" s="4" t="s">
        <v>38</v>
      </c>
      <c r="I28" s="1">
        <v>42.727272727272727</v>
      </c>
      <c r="K28" s="4" t="s">
        <v>38</v>
      </c>
      <c r="L28" s="1">
        <v>4.3636363636363633</v>
      </c>
    </row>
    <row r="29" spans="1:12" x14ac:dyDescent="0.3">
      <c r="D29" s="4" t="s">
        <v>39</v>
      </c>
      <c r="E29" s="11">
        <v>12</v>
      </c>
      <c r="H29" s="4" t="s">
        <v>39</v>
      </c>
      <c r="I29" s="1">
        <v>37.416666666666664</v>
      </c>
      <c r="K29" s="4" t="s">
        <v>39</v>
      </c>
      <c r="L29" s="1">
        <v>0</v>
      </c>
    </row>
    <row r="30" spans="1:12" x14ac:dyDescent="0.3">
      <c r="D30" s="4" t="s">
        <v>40</v>
      </c>
      <c r="E30" s="11">
        <v>20</v>
      </c>
      <c r="H30" s="4" t="s">
        <v>40</v>
      </c>
      <c r="I30" s="1">
        <v>32.450000000000003</v>
      </c>
      <c r="K30" s="4" t="s">
        <v>40</v>
      </c>
      <c r="L30" s="1">
        <v>10</v>
      </c>
    </row>
    <row r="31" spans="1:12" x14ac:dyDescent="0.3">
      <c r="D31" s="4" t="s">
        <v>41</v>
      </c>
      <c r="E31" s="11">
        <v>18</v>
      </c>
      <c r="H31" s="4" t="s">
        <v>41</v>
      </c>
      <c r="I31" s="1">
        <v>40.055555555555557</v>
      </c>
      <c r="K31" s="4" t="s">
        <v>42</v>
      </c>
      <c r="L31" s="1">
        <v>6.75</v>
      </c>
    </row>
    <row r="32" spans="1:12" x14ac:dyDescent="0.3">
      <c r="D32" s="4" t="s">
        <v>42</v>
      </c>
      <c r="E32" s="11">
        <v>18</v>
      </c>
      <c r="H32" s="4" t="s">
        <v>42</v>
      </c>
      <c r="I32" s="1">
        <v>31.666666666666668</v>
      </c>
      <c r="K32" s="4" t="s">
        <v>43</v>
      </c>
      <c r="L32" s="1">
        <v>7</v>
      </c>
    </row>
    <row r="33" spans="1:12" x14ac:dyDescent="0.3">
      <c r="D33" s="4" t="s">
        <v>43</v>
      </c>
      <c r="E33" s="11">
        <v>13</v>
      </c>
      <c r="H33" s="4" t="s">
        <v>43</v>
      </c>
      <c r="I33" s="1">
        <v>39.769230769230766</v>
      </c>
      <c r="K33" s="4" t="s">
        <v>44</v>
      </c>
      <c r="L33" s="1">
        <v>3.3333333333333335</v>
      </c>
    </row>
    <row r="34" spans="1:12" x14ac:dyDescent="0.3">
      <c r="D34" s="4" t="s">
        <v>44</v>
      </c>
      <c r="E34" s="11">
        <v>15</v>
      </c>
      <c r="H34" s="4" t="s">
        <v>44</v>
      </c>
      <c r="I34" s="1">
        <v>36.733333333333334</v>
      </c>
      <c r="K34" s="4" t="s">
        <v>4</v>
      </c>
      <c r="L34" s="1">
        <v>4.7154471544715451</v>
      </c>
    </row>
    <row r="35" spans="1:12" x14ac:dyDescent="0.3">
      <c r="D35" s="4" t="s">
        <v>4</v>
      </c>
      <c r="E35" s="11">
        <v>431</v>
      </c>
      <c r="H35" s="4" t="s">
        <v>4</v>
      </c>
      <c r="I35" s="1">
        <v>36.670533642691417</v>
      </c>
    </row>
    <row r="41" spans="1:12" x14ac:dyDescent="0.3">
      <c r="A41" s="3" t="s">
        <v>5</v>
      </c>
      <c r="B41" t="s">
        <v>9</v>
      </c>
      <c r="C41" t="s">
        <v>12</v>
      </c>
    </row>
    <row r="42" spans="1:12" x14ac:dyDescent="0.3">
      <c r="A42" s="4" t="s">
        <v>10</v>
      </c>
      <c r="B42" s="1">
        <v>224</v>
      </c>
      <c r="C42" s="7">
        <v>0.51972157772621808</v>
      </c>
    </row>
    <row r="43" spans="1:12" x14ac:dyDescent="0.3">
      <c r="A43" s="4" t="s">
        <v>11</v>
      </c>
      <c r="B43" s="1">
        <v>207</v>
      </c>
      <c r="C43" s="7">
        <v>0.48027842227378192</v>
      </c>
    </row>
    <row r="44" spans="1:12" x14ac:dyDescent="0.3">
      <c r="A44" s="4" t="s">
        <v>4</v>
      </c>
      <c r="B44" s="1">
        <v>431</v>
      </c>
      <c r="C44" s="7">
        <v>1</v>
      </c>
    </row>
    <row r="46" spans="1:12" x14ac:dyDescent="0.3">
      <c r="A46" s="8" t="s">
        <v>13</v>
      </c>
      <c r="B46" s="8" t="s">
        <v>15</v>
      </c>
      <c r="C46" s="8" t="s">
        <v>14</v>
      </c>
      <c r="D46" s="8"/>
    </row>
    <row r="47" spans="1:12" x14ac:dyDescent="0.3">
      <c r="A47" s="9" t="str">
        <f>A43</f>
        <v>Not Admitted</v>
      </c>
      <c r="B47" s="9">
        <f>B43</f>
        <v>207</v>
      </c>
      <c r="C47" s="10">
        <f>C43</f>
        <v>0.48027842227378192</v>
      </c>
      <c r="D47" s="9"/>
    </row>
    <row r="48" spans="1:12" x14ac:dyDescent="0.3">
      <c r="A48" s="9" t="str">
        <f>A42</f>
        <v>Admitted</v>
      </c>
      <c r="B48" s="9">
        <f>B42</f>
        <v>224</v>
      </c>
      <c r="C48" s="10">
        <f>C42</f>
        <v>0.51972157772621808</v>
      </c>
      <c r="D48" s="9"/>
    </row>
    <row r="49" spans="1:2" x14ac:dyDescent="0.3">
      <c r="A49" t="s">
        <v>54</v>
      </c>
    </row>
    <row r="50" spans="1:2" x14ac:dyDescent="0.3">
      <c r="A50" s="3" t="s">
        <v>5</v>
      </c>
      <c r="B50" t="s">
        <v>53</v>
      </c>
    </row>
    <row r="51" spans="1:2" x14ac:dyDescent="0.3">
      <c r="A51" s="4" t="s">
        <v>45</v>
      </c>
      <c r="B51" s="1">
        <v>42</v>
      </c>
    </row>
    <row r="52" spans="1:2" x14ac:dyDescent="0.3">
      <c r="A52" s="4" t="s">
        <v>46</v>
      </c>
      <c r="B52" s="1">
        <v>46</v>
      </c>
    </row>
    <row r="53" spans="1:2" x14ac:dyDescent="0.3">
      <c r="A53" s="4" t="s">
        <v>47</v>
      </c>
      <c r="B53" s="1">
        <v>54</v>
      </c>
    </row>
    <row r="54" spans="1:2" x14ac:dyDescent="0.3">
      <c r="A54" s="4" t="s">
        <v>48</v>
      </c>
      <c r="B54" s="1">
        <v>68</v>
      </c>
    </row>
    <row r="55" spans="1:2" x14ac:dyDescent="0.3">
      <c r="A55" s="4" t="s">
        <v>49</v>
      </c>
      <c r="B55" s="1">
        <v>62</v>
      </c>
    </row>
    <row r="56" spans="1:2" x14ac:dyDescent="0.3">
      <c r="A56" s="4" t="s">
        <v>50</v>
      </c>
      <c r="B56" s="1">
        <v>52</v>
      </c>
    </row>
    <row r="57" spans="1:2" x14ac:dyDescent="0.3">
      <c r="A57" s="4" t="s">
        <v>51</v>
      </c>
      <c r="B57" s="1">
        <v>54</v>
      </c>
    </row>
    <row r="58" spans="1:2" x14ac:dyDescent="0.3">
      <c r="A58" s="4" t="s">
        <v>52</v>
      </c>
      <c r="B58" s="1">
        <v>53</v>
      </c>
    </row>
    <row r="59" spans="1:2" x14ac:dyDescent="0.3">
      <c r="A59" s="4" t="s">
        <v>4</v>
      </c>
      <c r="B59" s="1">
        <v>431</v>
      </c>
    </row>
    <row r="60" spans="1:2" x14ac:dyDescent="0.3">
      <c r="A60" s="4" t="s">
        <v>58</v>
      </c>
    </row>
    <row r="61" spans="1:2" x14ac:dyDescent="0.3">
      <c r="A61" s="3" t="s">
        <v>5</v>
      </c>
      <c r="B61" t="s">
        <v>55</v>
      </c>
    </row>
    <row r="62" spans="1:2" x14ac:dyDescent="0.3">
      <c r="A62" s="4" t="s">
        <v>57</v>
      </c>
      <c r="B62" s="13">
        <v>283</v>
      </c>
    </row>
    <row r="63" spans="1:2" x14ac:dyDescent="0.3">
      <c r="A63" s="4" t="s">
        <v>56</v>
      </c>
      <c r="B63" s="13">
        <v>148</v>
      </c>
    </row>
    <row r="64" spans="1:2" x14ac:dyDescent="0.3">
      <c r="A64" s="4" t="s">
        <v>4</v>
      </c>
      <c r="B64" s="1">
        <v>431</v>
      </c>
    </row>
    <row r="66" spans="1:2" x14ac:dyDescent="0.3">
      <c r="A66" s="4" t="s">
        <v>62</v>
      </c>
    </row>
    <row r="67" spans="1:2" x14ac:dyDescent="0.3">
      <c r="A67" s="3" t="s">
        <v>5</v>
      </c>
      <c r="B67" t="s">
        <v>59</v>
      </c>
    </row>
    <row r="68" spans="1:2" x14ac:dyDescent="0.3">
      <c r="A68" s="4" t="s">
        <v>60</v>
      </c>
      <c r="B68" s="1">
        <v>194</v>
      </c>
    </row>
    <row r="69" spans="1:2" x14ac:dyDescent="0.3">
      <c r="A69" s="4" t="s">
        <v>61</v>
      </c>
      <c r="B69" s="1">
        <v>237</v>
      </c>
    </row>
    <row r="70" spans="1:2" x14ac:dyDescent="0.3">
      <c r="A70" s="4" t="s">
        <v>4</v>
      </c>
      <c r="B70" s="1">
        <v>431</v>
      </c>
    </row>
    <row r="72" spans="1:2" x14ac:dyDescent="0.3">
      <c r="A72" s="3" t="s">
        <v>5</v>
      </c>
      <c r="B72" t="s">
        <v>71</v>
      </c>
    </row>
    <row r="73" spans="1:2" x14ac:dyDescent="0.3">
      <c r="A73" s="4" t="s">
        <v>66</v>
      </c>
      <c r="B73" s="1">
        <v>6</v>
      </c>
    </row>
    <row r="74" spans="1:2" x14ac:dyDescent="0.3">
      <c r="A74" s="4" t="s">
        <v>64</v>
      </c>
      <c r="B74" s="1">
        <v>6</v>
      </c>
    </row>
    <row r="75" spans="1:2" x14ac:dyDescent="0.3">
      <c r="A75" s="4" t="s">
        <v>70</v>
      </c>
      <c r="B75" s="1">
        <v>6</v>
      </c>
    </row>
    <row r="76" spans="1:2" x14ac:dyDescent="0.3">
      <c r="A76" s="4" t="s">
        <v>63</v>
      </c>
      <c r="B76" s="1">
        <v>12</v>
      </c>
    </row>
    <row r="77" spans="1:2" x14ac:dyDescent="0.3">
      <c r="A77" s="4" t="s">
        <v>69</v>
      </c>
      <c r="B77" s="1">
        <v>14</v>
      </c>
    </row>
    <row r="78" spans="1:2" x14ac:dyDescent="0.3">
      <c r="A78" s="4" t="s">
        <v>68</v>
      </c>
      <c r="B78" s="1">
        <v>46</v>
      </c>
    </row>
    <row r="79" spans="1:2" x14ac:dyDescent="0.3">
      <c r="A79" s="4" t="s">
        <v>65</v>
      </c>
      <c r="B79" s="1">
        <v>89</v>
      </c>
    </row>
    <row r="80" spans="1:2" x14ac:dyDescent="0.3">
      <c r="A80" s="4" t="s">
        <v>67</v>
      </c>
      <c r="B80" s="1">
        <v>252</v>
      </c>
    </row>
    <row r="81" spans="1:2" x14ac:dyDescent="0.3">
      <c r="A81" s="4" t="s">
        <v>4</v>
      </c>
      <c r="B81" s="1">
        <v>431</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2C44-2458-464B-BC7A-35C5ECE0FB76}">
  <dimension ref="A1:U27"/>
  <sheetViews>
    <sheetView tabSelected="1" zoomScale="128" zoomScaleNormal="120" workbookViewId="0">
      <selection activeCell="Q28" sqref="Q28"/>
    </sheetView>
  </sheetViews>
  <sheetFormatPr defaultRowHeight="14.4" x14ac:dyDescent="0.3"/>
  <cols>
    <col min="7" max="7" width="9.21875" customWidth="1"/>
    <col min="16" max="16" width="10.77734375" customWidth="1"/>
  </cols>
  <sheetData>
    <row r="1" spans="1:21" x14ac:dyDescent="0.3">
      <c r="A1" s="2"/>
      <c r="B1" s="2"/>
      <c r="C1" s="2"/>
      <c r="D1" s="2"/>
      <c r="E1" s="2"/>
      <c r="F1" s="2"/>
      <c r="G1" s="2"/>
      <c r="H1" s="2"/>
      <c r="I1" s="2"/>
      <c r="J1" s="2"/>
      <c r="K1" s="2"/>
      <c r="L1" s="2"/>
      <c r="M1" s="2"/>
      <c r="N1" s="2"/>
      <c r="O1" s="2"/>
      <c r="P1" s="2"/>
      <c r="Q1" s="2"/>
      <c r="R1" s="2"/>
      <c r="S1" s="2"/>
      <c r="T1" s="2"/>
      <c r="U1" s="2"/>
    </row>
    <row r="2" spans="1:21" x14ac:dyDescent="0.3">
      <c r="A2" s="2"/>
      <c r="B2" s="2"/>
      <c r="C2" s="2"/>
      <c r="D2" s="2"/>
      <c r="E2" s="2"/>
      <c r="F2" s="2"/>
      <c r="G2" s="2"/>
      <c r="H2" s="2"/>
      <c r="I2" s="2"/>
      <c r="J2" s="2"/>
      <c r="K2" s="2"/>
      <c r="L2" s="2"/>
      <c r="M2" s="2"/>
      <c r="N2" s="2"/>
      <c r="O2" s="2"/>
      <c r="P2" s="2"/>
      <c r="Q2" s="2"/>
      <c r="R2" s="2"/>
      <c r="S2" s="2"/>
      <c r="T2" s="2"/>
      <c r="U2" s="2"/>
    </row>
    <row r="3" spans="1:21" x14ac:dyDescent="0.3">
      <c r="A3" s="2"/>
      <c r="B3" s="2"/>
      <c r="C3" s="2"/>
      <c r="D3" s="2"/>
      <c r="E3" s="2"/>
      <c r="F3" s="2"/>
      <c r="G3" s="2"/>
      <c r="H3" s="2"/>
      <c r="I3" s="2"/>
      <c r="J3" s="2"/>
      <c r="K3" s="2"/>
      <c r="L3" s="2"/>
      <c r="M3" s="2"/>
      <c r="N3" s="2"/>
      <c r="O3" s="2"/>
      <c r="P3" s="2"/>
      <c r="Q3" s="2"/>
      <c r="R3" s="2"/>
      <c r="S3" s="2"/>
      <c r="T3" s="2"/>
      <c r="U3" s="2"/>
    </row>
    <row r="4" spans="1:21" x14ac:dyDescent="0.3">
      <c r="A4" s="2"/>
      <c r="B4" s="2"/>
      <c r="C4" s="2"/>
      <c r="D4" s="2"/>
      <c r="E4" s="2"/>
      <c r="F4" s="2"/>
      <c r="G4" s="2"/>
      <c r="H4" s="2"/>
      <c r="I4" s="2"/>
      <c r="J4" s="2"/>
      <c r="K4" s="2"/>
      <c r="L4" s="2"/>
      <c r="M4" s="2"/>
      <c r="N4" s="2"/>
      <c r="O4" s="2"/>
      <c r="P4" s="2"/>
      <c r="Q4" s="2"/>
      <c r="R4" s="2"/>
      <c r="S4" s="2"/>
      <c r="T4" s="2"/>
      <c r="U4" s="2"/>
    </row>
    <row r="5" spans="1:21" x14ac:dyDescent="0.3">
      <c r="A5" s="2"/>
      <c r="B5" s="2"/>
      <c r="C5" s="2"/>
      <c r="D5" s="2"/>
      <c r="E5" s="2"/>
      <c r="F5" s="2"/>
      <c r="G5" s="2"/>
      <c r="H5" s="2"/>
      <c r="I5" s="2"/>
      <c r="J5" s="2"/>
      <c r="K5" s="2"/>
      <c r="L5" s="2"/>
      <c r="M5" s="2"/>
      <c r="N5" s="2"/>
      <c r="O5" s="2"/>
      <c r="P5" s="2"/>
      <c r="Q5" s="2"/>
      <c r="R5" s="2"/>
      <c r="S5" s="2"/>
      <c r="T5" s="2"/>
      <c r="U5" s="2"/>
    </row>
    <row r="6" spans="1:21" x14ac:dyDescent="0.3">
      <c r="A6" s="2"/>
      <c r="B6" s="2"/>
      <c r="C6" s="2"/>
      <c r="D6" s="2"/>
      <c r="E6" s="2"/>
      <c r="F6" s="2"/>
      <c r="G6" s="2"/>
      <c r="H6" s="2"/>
      <c r="I6" s="2"/>
      <c r="J6" s="2"/>
      <c r="K6" s="2"/>
      <c r="L6" s="2"/>
      <c r="M6" s="2"/>
      <c r="N6" s="2"/>
      <c r="O6" s="2"/>
      <c r="P6" s="2"/>
      <c r="Q6" s="2"/>
      <c r="R6" s="2"/>
      <c r="S6" s="2"/>
      <c r="T6" s="2"/>
      <c r="U6" s="2"/>
    </row>
    <row r="7" spans="1:21" x14ac:dyDescent="0.3">
      <c r="A7" s="2"/>
      <c r="B7" s="2"/>
      <c r="C7" s="2"/>
      <c r="D7" s="2"/>
      <c r="E7" s="2"/>
      <c r="F7" s="2"/>
      <c r="G7" s="2"/>
      <c r="H7" s="2"/>
      <c r="I7" s="2"/>
      <c r="J7" s="2"/>
      <c r="K7" s="2"/>
      <c r="L7" s="2"/>
      <c r="M7" s="2"/>
      <c r="N7" s="2"/>
      <c r="O7" s="2"/>
      <c r="P7" s="2"/>
      <c r="Q7" s="2"/>
      <c r="R7" s="2"/>
      <c r="S7" s="2"/>
      <c r="T7" s="2"/>
      <c r="U7" s="2"/>
    </row>
    <row r="8" spans="1:21" x14ac:dyDescent="0.3">
      <c r="A8" s="2"/>
      <c r="B8" s="2"/>
      <c r="C8" s="2"/>
      <c r="D8" s="2"/>
      <c r="E8" s="2"/>
      <c r="F8" s="2"/>
      <c r="G8" s="2"/>
      <c r="H8" s="2"/>
      <c r="I8" s="2"/>
      <c r="J8" s="2"/>
      <c r="K8" s="2"/>
      <c r="L8" s="2"/>
      <c r="M8" s="2"/>
      <c r="N8" s="2"/>
      <c r="O8" s="2"/>
      <c r="P8" s="2"/>
      <c r="Q8" s="2"/>
      <c r="R8" s="2"/>
      <c r="S8" s="2"/>
      <c r="T8" s="2"/>
      <c r="U8" s="2"/>
    </row>
    <row r="9" spans="1:21" x14ac:dyDescent="0.3">
      <c r="A9" s="2"/>
      <c r="B9" s="2"/>
      <c r="C9" s="2"/>
      <c r="D9" s="2"/>
      <c r="E9" s="2"/>
      <c r="F9" s="2"/>
      <c r="G9" s="2"/>
      <c r="H9" s="2"/>
      <c r="I9" s="2"/>
      <c r="J9" s="2"/>
      <c r="K9" s="2"/>
      <c r="L9" s="2"/>
      <c r="M9" s="2"/>
      <c r="N9" s="2"/>
      <c r="O9" s="2"/>
      <c r="P9" s="2"/>
      <c r="Q9" s="2"/>
      <c r="R9" s="2"/>
      <c r="S9" s="2"/>
      <c r="T9" s="2"/>
      <c r="U9" s="2"/>
    </row>
    <row r="10" spans="1:21" x14ac:dyDescent="0.3">
      <c r="A10" s="2"/>
      <c r="B10" s="2"/>
      <c r="C10" s="2"/>
      <c r="D10" s="2"/>
      <c r="E10" s="2"/>
      <c r="F10" s="2"/>
      <c r="G10" s="2"/>
      <c r="H10" s="2"/>
      <c r="I10" s="2"/>
      <c r="J10" s="2"/>
      <c r="K10" s="2"/>
      <c r="L10" s="2"/>
      <c r="M10" s="2"/>
      <c r="N10" s="2"/>
      <c r="O10" s="2"/>
      <c r="P10" s="2"/>
      <c r="Q10" s="2"/>
      <c r="R10" s="2"/>
      <c r="S10" s="2"/>
      <c r="T10" s="2"/>
      <c r="U10" s="2"/>
    </row>
    <row r="11" spans="1:21" x14ac:dyDescent="0.3">
      <c r="A11" s="2"/>
      <c r="B11" s="2"/>
      <c r="C11" s="2"/>
      <c r="D11" s="2"/>
      <c r="E11" s="2"/>
      <c r="F11" s="2"/>
      <c r="G11" s="2"/>
      <c r="H11" s="2"/>
      <c r="I11" s="2"/>
      <c r="J11" s="2"/>
      <c r="K11" s="2"/>
      <c r="L11" s="2"/>
      <c r="M11" s="2"/>
      <c r="N11" s="2"/>
      <c r="O11" s="2"/>
      <c r="P11" s="2"/>
      <c r="Q11" s="2"/>
      <c r="R11" s="2"/>
      <c r="S11" s="2"/>
      <c r="T11" s="2"/>
      <c r="U11" s="2"/>
    </row>
    <row r="12" spans="1:21" x14ac:dyDescent="0.3">
      <c r="A12" s="2"/>
      <c r="B12" s="2"/>
      <c r="C12" s="2"/>
      <c r="D12" s="2"/>
      <c r="E12" s="2"/>
      <c r="F12" s="2"/>
      <c r="G12" s="2"/>
      <c r="H12" s="2"/>
      <c r="I12" s="2"/>
      <c r="J12" s="2"/>
      <c r="K12" s="2"/>
      <c r="L12" s="2"/>
      <c r="M12" s="2"/>
      <c r="N12" s="2"/>
      <c r="O12" s="2"/>
      <c r="P12" s="2"/>
      <c r="Q12" s="2"/>
      <c r="R12" s="2"/>
      <c r="S12" s="2"/>
      <c r="T12" s="2"/>
      <c r="U12" s="2"/>
    </row>
    <row r="13" spans="1:21" x14ac:dyDescent="0.3">
      <c r="A13" s="2"/>
      <c r="B13" s="2"/>
      <c r="C13" s="2"/>
      <c r="D13" s="2"/>
      <c r="E13" s="2"/>
      <c r="F13" s="2"/>
      <c r="G13" s="2"/>
      <c r="H13" s="2"/>
      <c r="I13" s="2"/>
      <c r="J13" s="2"/>
      <c r="K13" s="2"/>
      <c r="L13" s="2"/>
      <c r="M13" s="2"/>
      <c r="N13" s="2"/>
      <c r="O13" s="2"/>
      <c r="P13" s="2"/>
      <c r="Q13" s="2"/>
      <c r="R13" s="2"/>
      <c r="S13" s="2"/>
      <c r="T13" s="2"/>
      <c r="U13" s="2"/>
    </row>
    <row r="14" spans="1:21" x14ac:dyDescent="0.3">
      <c r="A14" s="2"/>
      <c r="B14" s="2"/>
      <c r="C14" s="2"/>
      <c r="D14" s="2"/>
      <c r="E14" s="2"/>
      <c r="F14" s="2"/>
      <c r="G14" s="2"/>
      <c r="H14" s="2"/>
      <c r="I14" s="2"/>
      <c r="J14" s="2"/>
      <c r="K14" s="2"/>
      <c r="L14" s="2"/>
      <c r="M14" s="2"/>
      <c r="N14" s="2"/>
      <c r="O14" s="2"/>
      <c r="P14" s="2"/>
      <c r="Q14" s="2"/>
      <c r="R14" s="2"/>
      <c r="S14" s="2"/>
      <c r="T14" s="2"/>
      <c r="U14" s="2"/>
    </row>
    <row r="15" spans="1:21" x14ac:dyDescent="0.3">
      <c r="A15" s="2"/>
      <c r="B15" s="2"/>
      <c r="C15" s="2"/>
      <c r="D15" s="2"/>
      <c r="E15" s="2"/>
      <c r="F15" s="2"/>
      <c r="G15" s="2"/>
      <c r="H15" s="2"/>
      <c r="I15" s="2"/>
      <c r="J15" s="2"/>
      <c r="K15" s="2"/>
      <c r="L15" s="2"/>
      <c r="M15" s="2"/>
      <c r="N15" s="2"/>
      <c r="O15" s="2"/>
      <c r="P15" s="2"/>
      <c r="Q15" s="2"/>
      <c r="R15" s="2"/>
      <c r="S15" s="2"/>
      <c r="T15" s="2"/>
      <c r="U15" s="2"/>
    </row>
    <row r="16" spans="1:21" x14ac:dyDescent="0.3">
      <c r="A16" s="2"/>
      <c r="B16" s="2"/>
      <c r="C16" s="2"/>
      <c r="D16" s="2"/>
      <c r="E16" s="2"/>
      <c r="F16" s="2"/>
      <c r="G16" s="2"/>
      <c r="H16" s="2"/>
      <c r="I16" s="2"/>
      <c r="J16" s="2"/>
      <c r="K16" s="2"/>
      <c r="L16" s="2"/>
      <c r="M16" s="2"/>
      <c r="N16" s="2"/>
      <c r="O16" s="2"/>
      <c r="P16" s="2"/>
      <c r="Q16" s="2"/>
      <c r="R16" s="2"/>
      <c r="S16" s="2"/>
      <c r="T16" s="2"/>
      <c r="U16" s="2"/>
    </row>
    <row r="17" spans="1:21" x14ac:dyDescent="0.3">
      <c r="A17" s="2"/>
      <c r="B17" s="2"/>
      <c r="C17" s="2"/>
      <c r="D17" s="2"/>
      <c r="E17" s="2"/>
      <c r="F17" s="2"/>
      <c r="G17" s="2"/>
      <c r="H17" s="2"/>
      <c r="I17" s="2"/>
      <c r="J17" s="2"/>
      <c r="K17" s="2"/>
      <c r="L17" s="2"/>
      <c r="M17" s="2"/>
      <c r="N17" s="2"/>
      <c r="O17" s="2"/>
      <c r="P17" s="2"/>
      <c r="Q17" s="2"/>
      <c r="R17" s="2"/>
      <c r="S17" s="2"/>
      <c r="T17" s="2"/>
      <c r="U17" s="2"/>
    </row>
    <row r="18" spans="1:21" x14ac:dyDescent="0.3">
      <c r="A18" s="2"/>
      <c r="B18" s="2"/>
      <c r="C18" s="2"/>
      <c r="D18" s="2"/>
      <c r="E18" s="2"/>
      <c r="F18" s="2"/>
      <c r="G18" s="2"/>
      <c r="H18" s="2"/>
      <c r="I18" s="2"/>
      <c r="J18" s="2"/>
      <c r="K18" s="2"/>
      <c r="L18" s="2"/>
      <c r="M18" s="2"/>
      <c r="N18" s="2"/>
      <c r="O18" s="2"/>
      <c r="P18" s="2"/>
      <c r="Q18" s="2"/>
      <c r="R18" s="2"/>
      <c r="S18" s="2"/>
      <c r="T18" s="2"/>
      <c r="U18" s="2"/>
    </row>
    <row r="19" spans="1:21" x14ac:dyDescent="0.3">
      <c r="A19" s="2"/>
      <c r="B19" s="2"/>
      <c r="C19" s="2"/>
      <c r="D19" s="2"/>
      <c r="E19" s="2"/>
      <c r="F19" s="2"/>
      <c r="G19" s="2"/>
      <c r="H19" s="2"/>
      <c r="I19" s="2"/>
      <c r="J19" s="2"/>
      <c r="K19" s="2"/>
      <c r="L19" s="2"/>
      <c r="M19" s="2"/>
      <c r="N19" s="2"/>
      <c r="O19" s="2"/>
      <c r="P19" s="2"/>
      <c r="Q19" s="2"/>
      <c r="R19" s="2"/>
      <c r="S19" s="2"/>
      <c r="T19" s="2"/>
      <c r="U19" s="2"/>
    </row>
    <row r="20" spans="1:21" x14ac:dyDescent="0.3">
      <c r="A20" s="2"/>
      <c r="B20" s="2"/>
      <c r="C20" s="2"/>
      <c r="D20" s="2"/>
      <c r="E20" s="2"/>
      <c r="F20" s="2"/>
      <c r="G20" s="2"/>
      <c r="H20" s="2"/>
      <c r="I20" s="2"/>
      <c r="J20" s="2"/>
      <c r="K20" s="2"/>
      <c r="L20" s="2"/>
      <c r="M20" s="2"/>
      <c r="N20" s="2"/>
      <c r="O20" s="2"/>
      <c r="P20" s="2"/>
      <c r="Q20" s="2"/>
      <c r="R20" s="2"/>
      <c r="S20" s="2"/>
      <c r="T20" s="2"/>
      <c r="U20" s="2"/>
    </row>
    <row r="21" spans="1:21" x14ac:dyDescent="0.3">
      <c r="A21" s="2"/>
      <c r="B21" s="2"/>
      <c r="C21" s="2"/>
      <c r="D21" s="2"/>
      <c r="E21" s="2"/>
      <c r="F21" s="2"/>
      <c r="G21" s="2"/>
      <c r="H21" s="2"/>
      <c r="I21" s="2"/>
      <c r="J21" s="2"/>
      <c r="K21" s="2"/>
      <c r="L21" s="2"/>
      <c r="M21" s="2"/>
      <c r="N21" s="2"/>
      <c r="O21" s="2"/>
      <c r="P21" s="2"/>
      <c r="Q21" s="2"/>
      <c r="R21" s="2"/>
      <c r="S21" s="2"/>
      <c r="T21" s="2"/>
      <c r="U21" s="2"/>
    </row>
    <row r="22" spans="1:21" ht="13.2" customHeight="1" x14ac:dyDescent="0.3">
      <c r="A22" s="2"/>
      <c r="B22" s="2"/>
      <c r="C22" s="2"/>
      <c r="D22" s="2"/>
      <c r="E22" s="2"/>
      <c r="F22" s="2"/>
      <c r="G22" s="2"/>
      <c r="H22" s="2"/>
      <c r="I22" s="2"/>
      <c r="J22" s="2"/>
      <c r="K22" s="2"/>
      <c r="L22" s="2"/>
      <c r="M22" s="2"/>
      <c r="N22" s="2"/>
      <c r="O22" s="2"/>
      <c r="P22" s="2"/>
      <c r="Q22" s="2"/>
      <c r="R22" s="2"/>
      <c r="S22" s="2"/>
      <c r="T22" s="2"/>
      <c r="U22" s="2"/>
    </row>
    <row r="23" spans="1:21" x14ac:dyDescent="0.3">
      <c r="A23" s="2"/>
      <c r="B23" s="2"/>
      <c r="C23" s="2"/>
      <c r="D23" s="2"/>
      <c r="E23" s="2"/>
      <c r="F23" s="2"/>
      <c r="G23" s="2"/>
      <c r="H23" s="2"/>
      <c r="I23" s="2"/>
      <c r="J23" s="2"/>
      <c r="K23" s="2"/>
      <c r="L23" s="2"/>
      <c r="M23" s="2"/>
      <c r="N23" s="2"/>
      <c r="O23" s="2"/>
      <c r="P23" s="2"/>
      <c r="Q23" s="2"/>
      <c r="R23" s="2"/>
      <c r="S23" s="2"/>
      <c r="T23" s="2"/>
      <c r="U23" s="2"/>
    </row>
    <row r="24" spans="1:21" x14ac:dyDescent="0.3">
      <c r="A24" s="2"/>
      <c r="B24" s="2"/>
      <c r="C24" s="2"/>
      <c r="D24" s="2"/>
      <c r="E24" s="2"/>
      <c r="F24" s="2"/>
      <c r="G24" s="2"/>
      <c r="H24" s="2"/>
      <c r="I24" s="2"/>
      <c r="J24" s="2"/>
      <c r="K24" s="2"/>
      <c r="L24" s="2"/>
      <c r="M24" s="2"/>
      <c r="N24" s="2"/>
      <c r="O24" s="2"/>
      <c r="P24" s="2"/>
      <c r="Q24" s="2"/>
      <c r="R24" s="2"/>
      <c r="S24" s="2"/>
      <c r="T24" s="2"/>
      <c r="U24" s="2"/>
    </row>
    <row r="25" spans="1:21" x14ac:dyDescent="0.3">
      <c r="A25" s="2"/>
      <c r="B25" s="2"/>
      <c r="C25" s="2"/>
      <c r="D25" s="2"/>
      <c r="E25" s="2"/>
      <c r="F25" s="2"/>
      <c r="G25" s="2"/>
      <c r="H25" s="2"/>
      <c r="I25" s="2"/>
      <c r="J25" s="2"/>
      <c r="K25" s="2"/>
      <c r="L25" s="2"/>
      <c r="M25" s="2"/>
      <c r="N25" s="2"/>
      <c r="O25" s="2"/>
      <c r="P25" s="2"/>
      <c r="Q25" s="2"/>
      <c r="R25" s="2"/>
      <c r="S25" s="2"/>
      <c r="T25" s="2"/>
      <c r="U25" s="2"/>
    </row>
    <row r="27" spans="1:21" ht="18" x14ac:dyDescent="0.3">
      <c r="G27" s="1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B356-31CE-4D4D-9A61-EA75D12E66F2}">
  <dimension ref="A1:R22"/>
  <sheetViews>
    <sheetView topLeftCell="D1" workbookViewId="0">
      <selection activeCell="Q24" sqref="Q24"/>
    </sheetView>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E66F-2488-4C32-98FC-92C8C4B9F8BA}">
  <dimension ref="A1:L20"/>
  <sheetViews>
    <sheetView workbookViewId="0"/>
  </sheetViews>
  <sheetFormatPr defaultRowHeight="14.4" x14ac:dyDescent="0.3"/>
  <sheetData>
    <row r="1" spans="1:12" x14ac:dyDescent="0.3">
      <c r="A1" s="6"/>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row r="17" spans="1:12" x14ac:dyDescent="0.3">
      <c r="A17" s="5"/>
      <c r="B17" s="5"/>
      <c r="C17" s="5"/>
      <c r="D17" s="5"/>
      <c r="E17" s="5"/>
      <c r="F17" s="5"/>
      <c r="G17" s="5"/>
      <c r="H17" s="5"/>
      <c r="I17" s="5"/>
      <c r="J17" s="5"/>
      <c r="K17" s="5"/>
      <c r="L17" s="5"/>
    </row>
    <row r="18" spans="1:12" x14ac:dyDescent="0.3">
      <c r="A18" s="5"/>
      <c r="B18" s="5"/>
      <c r="C18" s="5"/>
      <c r="D18" s="5"/>
      <c r="E18" s="5"/>
      <c r="F18" s="5"/>
      <c r="G18" s="5"/>
      <c r="H18" s="5"/>
      <c r="I18" s="5"/>
      <c r="J18" s="5"/>
      <c r="K18" s="5"/>
      <c r="L18" s="5"/>
    </row>
    <row r="19" spans="1:12" x14ac:dyDescent="0.3">
      <c r="A19" s="5"/>
      <c r="B19" s="5"/>
      <c r="C19" s="5"/>
      <c r="D19" s="5"/>
      <c r="E19" s="5"/>
      <c r="F19" s="5"/>
      <c r="G19" s="5"/>
      <c r="H19" s="5"/>
      <c r="I19" s="5"/>
      <c r="J19" s="5"/>
      <c r="K19" s="5"/>
      <c r="L19" s="5"/>
    </row>
    <row r="20" spans="1:12" x14ac:dyDescent="0.3">
      <c r="A20" s="5"/>
      <c r="B20" s="5"/>
      <c r="C20" s="5"/>
      <c r="D20" s="5"/>
      <c r="E20" s="5"/>
      <c r="F20" s="5"/>
      <c r="G20" s="5"/>
      <c r="H20" s="5"/>
      <c r="I20" s="5"/>
      <c r="J20" s="5"/>
      <c r="K20" s="5"/>
      <c r="L20"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D1AE5-78CC-4335-AF26-82DB4B3B8E05}">
  <dimension ref="A1:S26"/>
  <sheetViews>
    <sheetView workbookViewId="0">
      <selection activeCell="P24" sqref="P24"/>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ht="18.600000000000001" customHeight="1"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295848F-6469-4E6E-A6E5-EDDB599101F7}">
  <ds:schemaRefs/>
</ds:datastoreItem>
</file>

<file path=customXml/itemProps2.xml><?xml version="1.0" encoding="utf-8"?>
<ds:datastoreItem xmlns:ds="http://schemas.openxmlformats.org/officeDocument/2006/customXml" ds:itemID="{E224DCD6-1F7C-4A51-9288-D268985F73A1}">
  <ds:schemaRefs/>
</ds:datastoreItem>
</file>

<file path=customXml/itemProps3.xml><?xml version="1.0" encoding="utf-8"?>
<ds:datastoreItem xmlns:ds="http://schemas.openxmlformats.org/officeDocument/2006/customXml" ds:itemID="{60CDB4E1-027C-49E3-A0B8-6DC5BEFCAAAD}">
  <ds:schemaRefs/>
</ds:datastoreItem>
</file>

<file path=customXml/itemProps4.xml><?xml version="1.0" encoding="utf-8"?>
<ds:datastoreItem xmlns:ds="http://schemas.openxmlformats.org/officeDocument/2006/customXml" ds:itemID="{FA7A5944-74F9-4AA5-B801-AF87EA928281}">
  <ds:schemaRefs/>
</ds:datastoreItem>
</file>

<file path=customXml/itemProps5.xml><?xml version="1.0" encoding="utf-8"?>
<ds:datastoreItem xmlns:ds="http://schemas.openxmlformats.org/officeDocument/2006/customXml" ds:itemID="{CC442256-AABA-4280-9835-395122670AE5}">
  <ds:schemaRefs/>
</ds:datastoreItem>
</file>

<file path=customXml/itemProps6.xml><?xml version="1.0" encoding="utf-8"?>
<ds:datastoreItem xmlns:ds="http://schemas.openxmlformats.org/officeDocument/2006/customXml" ds:itemID="{D849147A-96FD-4822-9D24-0438179EAFE5}">
  <ds:schemaRefs/>
</ds:datastoreItem>
</file>

<file path=customXml/itemProps7.xml><?xml version="1.0" encoding="utf-8"?>
<ds:datastoreItem xmlns:ds="http://schemas.openxmlformats.org/officeDocument/2006/customXml" ds:itemID="{15EF659D-D18F-4601-8D7E-BB35EA2624DD}">
  <ds:schemaRefs/>
</ds:datastoreItem>
</file>

<file path=customXml/itemProps8.xml><?xml version="1.0" encoding="utf-8"?>
<ds:datastoreItem xmlns:ds="http://schemas.openxmlformats.org/officeDocument/2006/customXml" ds:itemID="{5586ACD8-D9F2-48DE-A7CF-4CAA608AB575}">
  <ds:schemaRefs/>
</ds:datastoreItem>
</file>

<file path=customXml/itemProps9.xml><?xml version="1.0" encoding="utf-8"?>
<ds:datastoreItem xmlns:ds="http://schemas.openxmlformats.org/officeDocument/2006/customXml" ds:itemID="{13327CA8-8723-4131-9B11-F59E10031CC8}">
  <ds:schemaRefs/>
</ds:datastoreItem>
</file>

<file path=customXml/itemProps10.xml><?xml version="1.0" encoding="utf-8"?>
<ds:datastoreItem xmlns:ds="http://schemas.openxmlformats.org/officeDocument/2006/customXml" ds:itemID="{9063BF77-B924-4656-BF08-3D239EC014A5}">
  <ds:schemaRefs/>
</ds:datastoreItem>
</file>

<file path=customXml/itemProps11.xml><?xml version="1.0" encoding="utf-8"?>
<ds:datastoreItem xmlns:ds="http://schemas.openxmlformats.org/officeDocument/2006/customXml" ds:itemID="{75B2988F-639E-4443-B8B2-FC08B2EFAC9E}">
  <ds:schemaRefs/>
</ds:datastoreItem>
</file>

<file path=customXml/itemProps12.xml><?xml version="1.0" encoding="utf-8"?>
<ds:datastoreItem xmlns:ds="http://schemas.openxmlformats.org/officeDocument/2006/customXml" ds:itemID="{E13AACD1-8B20-4001-8199-2695E80DCE15}">
  <ds:schemaRefs/>
</ds:datastoreItem>
</file>

<file path=customXml/itemProps13.xml><?xml version="1.0" encoding="utf-8"?>
<ds:datastoreItem xmlns:ds="http://schemas.openxmlformats.org/officeDocument/2006/customXml" ds:itemID="{509ED160-25C8-4E6E-B652-F1C6F75B2360}">
  <ds:schemaRefs/>
</ds:datastoreItem>
</file>

<file path=customXml/itemProps14.xml><?xml version="1.0" encoding="utf-8"?>
<ds:datastoreItem xmlns:ds="http://schemas.openxmlformats.org/officeDocument/2006/customXml" ds:itemID="{7B85F843-22BE-46EA-B554-1E292C53222B}">
  <ds:schemaRefs/>
</ds:datastoreItem>
</file>

<file path=customXml/itemProps15.xml><?xml version="1.0" encoding="utf-8"?>
<ds:datastoreItem xmlns:ds="http://schemas.openxmlformats.org/officeDocument/2006/customXml" ds:itemID="{430F01D1-E0FB-47D1-B441-D60C719D4237}">
  <ds:schemaRefs/>
</ds:datastoreItem>
</file>

<file path=customXml/itemProps16.xml><?xml version="1.0" encoding="utf-8"?>
<ds:datastoreItem xmlns:ds="http://schemas.openxmlformats.org/officeDocument/2006/customXml" ds:itemID="{06FB8ADC-C2DE-4714-A3AE-E4A2BB0AFB54}">
  <ds:schemaRefs/>
</ds:datastoreItem>
</file>

<file path=customXml/itemProps17.xml><?xml version="1.0" encoding="utf-8"?>
<ds:datastoreItem xmlns:ds="http://schemas.openxmlformats.org/officeDocument/2006/customXml" ds:itemID="{9C44B2A2-F299-4E84-A1C5-1E8D49005E73}">
  <ds:schemaRefs>
    <ds:schemaRef ds:uri="http://schemas.microsoft.com/DataMashup"/>
  </ds:schemaRefs>
</ds:datastoreItem>
</file>

<file path=customXml/itemProps18.xml><?xml version="1.0" encoding="utf-8"?>
<ds:datastoreItem xmlns:ds="http://schemas.openxmlformats.org/officeDocument/2006/customXml" ds:itemID="{105880E6-5D55-4B1D-92A4-718685D974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dashhboard</vt:lpstr>
      <vt:lpstr>Average wait time daliy trend</vt:lpstr>
      <vt:lpstr>Daily ER no of patient</vt:lpstr>
      <vt:lpstr>satisfaction score daliy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 Patel</dc:creator>
  <cp:lastModifiedBy>Sonal Patel</cp:lastModifiedBy>
  <cp:lastPrinted>2026-04-01T10:19:09Z</cp:lastPrinted>
  <dcterms:created xsi:type="dcterms:W3CDTF">2026-03-27T10:35:59Z</dcterms:created>
  <dcterms:modified xsi:type="dcterms:W3CDTF">2026-04-02T11:38:50Z</dcterms:modified>
</cp:coreProperties>
</file>